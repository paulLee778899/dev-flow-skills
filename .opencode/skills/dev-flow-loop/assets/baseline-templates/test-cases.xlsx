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单元测试" sheetId="2" state="visible" r:id="rId2"/>
    <sheet xmlns:r="http://schemas.openxmlformats.org/officeDocument/2006/relationships" name="集成测试" sheetId="3" state="visible" r:id="rId3"/>
    <sheet xmlns:r="http://schemas.openxmlformats.org/officeDocument/2006/relationships" name="系统测试" sheetId="4" state="visible" r:id="rId4"/>
    <sheet xmlns:r="http://schemas.openxmlformats.org/officeDocument/2006/relationships" name="性能测试" sheetId="5" state="visible" r:id="rId5"/>
    <sheet xmlns:r="http://schemas.openxmlformats.org/officeDocument/2006/relationships" name="安全测试" sheetId="6" state="visible" r:id="rId6"/>
    <sheet xmlns:r="http://schemas.openxmlformats.org/officeDocument/2006/relationships" name="回归测试" sheetId="7" state="visible" r:id="rId7"/>
    <sheet xmlns:r="http://schemas.openxmlformats.org/officeDocument/2006/relationships" name="资源约束测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i val="1"/>
      <color rgb="00808080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375623"/>
      <sz val="9"/>
    </font>
    <font>
      <name val="Arial"/>
      <color rgb="00833C00"/>
      <sz val="9"/>
    </font>
    <font>
      <name val="Arial"/>
      <color rgb="007F6000"/>
      <sz val="9"/>
    </font>
    <font>
      <name val="Arial"/>
      <b val="1"/>
      <color rgb="00FFFFFF"/>
      <sz val="13"/>
    </font>
    <font>
      <name val="Arial"/>
      <color rgb="00595959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AFAFA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dev-flow</author>
  </authors>
  <commentList>
    <comment ref="B19" authorId="0" shapeId="0">
      <text>
        <t>B列必须与真实 Sheet 名称完全一致；新增/删除分类 Sheet 时，同步增删本汇总区登记行，并复制 C:I 的统计公式。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38" customHeight="1">
      <c r="A1" s="1" t="inlineStr">
        <is>
          <t>{{项目主题}}  测试记录汇总</t>
        </is>
      </c>
      <c r="B1" s="27" t="n"/>
      <c r="C1" s="27" t="n"/>
      <c r="D1" s="27" t="n"/>
      <c r="E1" s="27" t="n"/>
      <c r="F1" s="27" t="n"/>
      <c r="G1" s="27" t="n"/>
      <c r="H1" s="28" t="n"/>
      <c r="I1" s="28" t="n"/>
    </row>
    <row r="2" ht="6" customHeight="1"/>
    <row r="3" ht="22" customHeight="1">
      <c r="A3" s="3" t="inlineStr">
        <is>
          <t>产品 / 项目信息</t>
        </is>
      </c>
      <c r="B3" s="27" t="n"/>
      <c r="C3" s="27" t="n"/>
      <c r="D3" s="27" t="n"/>
      <c r="E3" s="27" t="n"/>
      <c r="F3" s="27" t="n"/>
      <c r="G3" s="27" t="n"/>
      <c r="H3" s="28" t="n"/>
      <c r="I3" s="28" t="n"/>
    </row>
    <row r="4" ht="18" customHeight="1">
      <c r="A4" s="4" t="inlineStr">
        <is>
          <t>项目 / 产品名称</t>
        </is>
      </c>
      <c r="B4" s="5" t="inlineStr">
        <is>
          <t>{{项目名称}}</t>
        </is>
      </c>
      <c r="C4" s="27" t="n"/>
      <c r="D4" s="27" t="n"/>
      <c r="E4" s="27" t="n"/>
      <c r="F4" s="27" t="n"/>
      <c r="G4" s="27" t="n"/>
      <c r="H4" s="28" t="n"/>
      <c r="I4" s="28" t="n"/>
    </row>
    <row r="5" ht="18" customHeight="1">
      <c r="A5" s="4" t="inlineStr">
        <is>
          <t>硬件平台</t>
        </is>
      </c>
      <c r="B5" s="5" t="inlineStr">
        <is>
          <t>{{硬件平台，如 STM32F4xx / ESP32-S3 / RK3568 / 自研 SoC}}</t>
        </is>
      </c>
      <c r="C5" s="27" t="n"/>
      <c r="D5" s="27" t="n"/>
      <c r="E5" s="27" t="n"/>
      <c r="F5" s="27" t="n"/>
      <c r="G5" s="27" t="n"/>
      <c r="H5" s="28" t="n"/>
      <c r="I5" s="28" t="n"/>
    </row>
    <row r="6" ht="18" customHeight="1">
      <c r="A6" s="4" t="inlineStr">
        <is>
          <t>芯片 / 处理器型号</t>
        </is>
      </c>
      <c r="B6" s="5" t="inlineStr">
        <is>
          <t>{{完整芯片型号，如 STM32F407VGT6}}</t>
        </is>
      </c>
      <c r="C6" s="27" t="n"/>
      <c r="D6" s="27" t="n"/>
      <c r="E6" s="27" t="n"/>
      <c r="F6" s="27" t="n"/>
      <c r="G6" s="27" t="n"/>
      <c r="H6" s="28" t="n"/>
      <c r="I6" s="28" t="n"/>
    </row>
    <row r="7" ht="18" customHeight="1">
      <c r="A7" s="4" t="inlineStr">
        <is>
          <t>PCB / 硬件版本</t>
        </is>
      </c>
      <c r="B7" s="5" t="inlineStr">
        <is>
          <t>{{v1.0；如无硬件则填 N/A}}</t>
        </is>
      </c>
      <c r="C7" s="27" t="n"/>
      <c r="D7" s="27" t="n"/>
      <c r="E7" s="27" t="n"/>
      <c r="F7" s="27" t="n"/>
      <c r="G7" s="27" t="n"/>
      <c r="H7" s="28" t="n"/>
      <c r="I7" s="28" t="n"/>
    </row>
    <row r="8" ht="18" customHeight="1">
      <c r="A8" s="4" t="inlineStr">
        <is>
          <t>软件版本</t>
        </is>
      </c>
      <c r="B8" s="5" t="inlineStr">
        <is>
          <t>{{v0.1.0}}</t>
        </is>
      </c>
      <c r="C8" s="27" t="n"/>
      <c r="D8" s="27" t="n"/>
      <c r="E8" s="27" t="n"/>
      <c r="F8" s="27" t="n"/>
      <c r="G8" s="27" t="n"/>
      <c r="H8" s="28" t="n"/>
      <c r="I8" s="28" t="n"/>
    </row>
    <row r="9" ht="18" customHeight="1">
      <c r="A9" s="4" t="inlineStr">
        <is>
          <t>固件版本</t>
        </is>
      </c>
      <c r="B9" s="5" t="inlineStr">
        <is>
          <t>{{如适用，填固件版本号；不适用则填 N/A}}</t>
        </is>
      </c>
      <c r="C9" s="27" t="n"/>
      <c r="D9" s="27" t="n"/>
      <c r="E9" s="27" t="n"/>
      <c r="F9" s="27" t="n"/>
      <c r="G9" s="27" t="n"/>
      <c r="H9" s="28" t="n"/>
      <c r="I9" s="28" t="n"/>
    </row>
    <row r="10" ht="18" customHeight="1">
      <c r="A10" s="4" t="inlineStr">
        <is>
          <t>测试固件 / 镜像文件</t>
        </is>
      </c>
      <c r="B10" s="5" t="inlineStr">
        <is>
          <t>{{文件名或路径，如 fw_v0.1.0_debug.hex}}</t>
        </is>
      </c>
      <c r="C10" s="27" t="n"/>
      <c r="D10" s="27" t="n"/>
      <c r="E10" s="27" t="n"/>
      <c r="F10" s="27" t="n"/>
      <c r="G10" s="27" t="n"/>
      <c r="H10" s="28" t="n"/>
      <c r="I10" s="28" t="n"/>
    </row>
    <row r="11" ht="18" customHeight="1">
      <c r="A11" s="4" t="inlineStr">
        <is>
          <t>测试工具 / 调试设备</t>
        </is>
      </c>
      <c r="B11" s="5" t="inlineStr">
        <is>
          <t>{{J-Link / ST-Link / 串口终端 / 示波器 / 逻辑分析仪 等}}</t>
        </is>
      </c>
      <c r="C11" s="27" t="n"/>
      <c r="D11" s="27" t="n"/>
      <c r="E11" s="27" t="n"/>
      <c r="F11" s="27" t="n"/>
      <c r="G11" s="27" t="n"/>
      <c r="H11" s="28" t="n"/>
      <c r="I11" s="28" t="n"/>
    </row>
    <row r="12" ht="18" customHeight="1">
      <c r="A12" s="4" t="inlineStr">
        <is>
          <t>测试环境</t>
        </is>
      </c>
      <c r="B12" s="5" t="inlineStr">
        <is>
          <t>{{DEV / SIT / 硬件台架 / 量产测试夹具，简述测试环境}}</t>
        </is>
      </c>
      <c r="C12" s="27" t="n"/>
      <c r="D12" s="27" t="n"/>
      <c r="E12" s="27" t="n"/>
      <c r="F12" s="27" t="n"/>
      <c r="G12" s="27" t="n"/>
      <c r="H12" s="28" t="n"/>
      <c r="I12" s="28" t="n"/>
    </row>
    <row r="13" ht="18" customHeight="1">
      <c r="A13" s="4" t="inlineStr">
        <is>
          <t>测试负责人</t>
        </is>
      </c>
      <c r="B13" s="5" t="inlineStr">
        <is>
          <t>{{姓名}}</t>
        </is>
      </c>
      <c r="C13" s="27" t="n"/>
      <c r="D13" s="27" t="n"/>
      <c r="E13" s="27" t="n"/>
      <c r="F13" s="27" t="n"/>
      <c r="G13" s="27" t="n"/>
      <c r="H13" s="28" t="n"/>
      <c r="I13" s="28" t="n"/>
    </row>
    <row r="14" ht="18" customHeight="1">
      <c r="A14" s="4" t="inlineStr">
        <is>
          <t>测试开始日期</t>
        </is>
      </c>
      <c r="B14" s="5" t="inlineStr">
        <is>
          <t>{{YYYY-MM-DD}}</t>
        </is>
      </c>
      <c r="C14" s="27" t="n"/>
      <c r="D14" s="27" t="n"/>
      <c r="E14" s="27" t="n"/>
      <c r="F14" s="27" t="n"/>
      <c r="G14" s="27" t="n"/>
      <c r="H14" s="28" t="n"/>
      <c r="I14" s="28" t="n"/>
    </row>
    <row r="15" ht="18" customHeight="1">
      <c r="A15" s="4" t="inlineStr">
        <is>
          <t>测试结束日期</t>
        </is>
      </c>
      <c r="B15" s="5" t="inlineStr">
        <is>
          <t>{{YYYY-MM-DD}}</t>
        </is>
      </c>
      <c r="C15" s="27" t="n"/>
      <c r="D15" s="27" t="n"/>
      <c r="E15" s="27" t="n"/>
      <c r="F15" s="27" t="n"/>
      <c r="G15" s="27" t="n"/>
      <c r="H15" s="28" t="n"/>
      <c r="I15" s="28" t="n"/>
    </row>
    <row r="16" ht="18" customHeight="1">
      <c r="A16" s="4" t="inlineStr">
        <is>
          <t>文档版本</t>
        </is>
      </c>
      <c r="B16" s="5" t="inlineStr">
        <is>
          <t>{{v1.0}}</t>
        </is>
      </c>
      <c r="C16" s="27" t="n"/>
      <c r="D16" s="27" t="n"/>
      <c r="E16" s="27" t="n"/>
      <c r="F16" s="27" t="n"/>
      <c r="G16" s="27" t="n"/>
      <c r="H16" s="28" t="n"/>
      <c r="I16" s="28" t="n"/>
    </row>
    <row r="17" ht="6" customHeight="1"/>
    <row r="18" ht="22" customHeight="1">
      <c r="A18" s="3" t="inlineStr">
        <is>
          <t>测试执行统计</t>
        </is>
      </c>
      <c r="B18" s="27" t="n"/>
      <c r="C18" s="27" t="n"/>
      <c r="D18" s="27" t="n"/>
      <c r="E18" s="27" t="n"/>
      <c r="F18" s="27" t="n"/>
      <c r="G18" s="27" t="n"/>
      <c r="H18" s="27" t="n"/>
      <c r="I18" s="28" t="n"/>
    </row>
    <row r="19" ht="22" customHeight="1">
      <c r="A19" s="6" t="inlineStr">
        <is>
          <t>测试分类</t>
        </is>
      </c>
      <c r="B19" s="6" t="inlineStr">
        <is>
          <t>Sheet 名称</t>
        </is>
      </c>
      <c r="C19" s="6" t="inlineStr">
        <is>
          <t>总用例数</t>
        </is>
      </c>
      <c r="D19" s="6" t="inlineStr">
        <is>
          <t>通过</t>
        </is>
      </c>
      <c r="E19" s="6" t="inlineStr">
        <is>
          <t>失败</t>
        </is>
      </c>
      <c r="F19" s="6" t="inlineStr">
        <is>
          <t>阻塞</t>
        </is>
      </c>
      <c r="G19" s="6" t="inlineStr">
        <is>
          <t>未执行</t>
        </is>
      </c>
      <c r="H19" s="6" t="inlineStr">
        <is>
          <t>跳过</t>
        </is>
      </c>
      <c r="I19" s="6" t="inlineStr">
        <is>
          <t>通过率</t>
        </is>
      </c>
    </row>
    <row r="20" ht="18" customHeight="1">
      <c r="A20" s="13" t="inlineStr">
        <is>
          <t>单元测试</t>
        </is>
      </c>
      <c r="B20" s="14" t="inlineStr">
        <is>
          <t>单元测试</t>
        </is>
      </c>
      <c r="C20" s="14">
        <f>IFERROR(COUNTA(INDIRECT("'"&amp;$B20&amp;"'!A4:A10000")),0)</f>
        <v/>
      </c>
      <c r="D20" s="15">
        <f>IFERROR(COUNTIF(INDIRECT("'"&amp;$B20&amp;"'!I4:I10000"),"通过"),0)</f>
        <v/>
      </c>
      <c r="E20" s="16">
        <f>IFERROR(COUNTIF(INDIRECT("'"&amp;$B20&amp;"'!I4:I10000"),"失败"),0)</f>
        <v/>
      </c>
      <c r="F20" s="17">
        <f>IFERROR(COUNTIF(INDIRECT("'"&amp;$B20&amp;"'!I4:I10000"),"阻塞"),0)</f>
        <v/>
      </c>
      <c r="G20" s="14">
        <f>IFERROR(COUNTIF(INDIRECT("'"&amp;$B20&amp;"'!I4:I10000"),"未执行"),0)</f>
        <v/>
      </c>
      <c r="H20" s="18">
        <f>IFERROR(COUNTIF(INDIRECT("'"&amp;$B20&amp;"'!I4:I10000"),"跳过"),0)</f>
        <v/>
      </c>
      <c r="I20" s="18">
        <f>IFERROR(D20/C20,"-")</f>
        <v/>
      </c>
    </row>
    <row r="21" ht="18" customHeight="1">
      <c r="A21" s="13" t="inlineStr">
        <is>
          <t>集成测试</t>
        </is>
      </c>
      <c r="B21" s="14" t="inlineStr">
        <is>
          <t>集成测试</t>
        </is>
      </c>
      <c r="C21" s="14">
        <f>IFERROR(COUNTA(INDIRECT("'"&amp;$B21&amp;"'!A4:A10000")),0)</f>
        <v/>
      </c>
      <c r="D21" s="15">
        <f>IFERROR(COUNTIF(INDIRECT("'"&amp;$B21&amp;"'!I4:I10000"),"通过"),0)</f>
        <v/>
      </c>
      <c r="E21" s="16">
        <f>IFERROR(COUNTIF(INDIRECT("'"&amp;$B21&amp;"'!I4:I10000"),"失败"),0)</f>
        <v/>
      </c>
      <c r="F21" s="17">
        <f>IFERROR(COUNTIF(INDIRECT("'"&amp;$B21&amp;"'!I4:I10000"),"阻塞"),0)</f>
        <v/>
      </c>
      <c r="G21" s="14">
        <f>IFERROR(COUNTIF(INDIRECT("'"&amp;$B21&amp;"'!I4:I10000"),"未执行"),0)</f>
        <v/>
      </c>
      <c r="H21" s="18">
        <f>IFERROR(COUNTIF(INDIRECT("'"&amp;$B21&amp;"'!I4:I10000"),"跳过"),0)</f>
        <v/>
      </c>
      <c r="I21" s="18">
        <f>IFERROR(D21/C21,"-")</f>
        <v/>
      </c>
    </row>
    <row r="22" ht="18" customHeight="1">
      <c r="A22" s="13" t="inlineStr">
        <is>
          <t>系统测试</t>
        </is>
      </c>
      <c r="B22" s="14" t="inlineStr">
        <is>
          <t>系统测试</t>
        </is>
      </c>
      <c r="C22" s="14">
        <f>IFERROR(COUNTA(INDIRECT("'"&amp;$B22&amp;"'!A4:A10000")),0)</f>
        <v/>
      </c>
      <c r="D22" s="15">
        <f>IFERROR(COUNTIF(INDIRECT("'"&amp;$B22&amp;"'!I4:I10000"),"通过"),0)</f>
        <v/>
      </c>
      <c r="E22" s="16">
        <f>IFERROR(COUNTIF(INDIRECT("'"&amp;$B22&amp;"'!I4:I10000"),"失败"),0)</f>
        <v/>
      </c>
      <c r="F22" s="17">
        <f>IFERROR(COUNTIF(INDIRECT("'"&amp;$B22&amp;"'!I4:I10000"),"阻塞"),0)</f>
        <v/>
      </c>
      <c r="G22" s="14">
        <f>IFERROR(COUNTIF(INDIRECT("'"&amp;$B22&amp;"'!I4:I10000"),"未执行"),0)</f>
        <v/>
      </c>
      <c r="H22" s="18">
        <f>IFERROR(COUNTIF(INDIRECT("'"&amp;$B22&amp;"'!I4:I10000"),"跳过"),0)</f>
        <v/>
      </c>
      <c r="I22" s="18">
        <f>IFERROR(D22/C22,"-")</f>
        <v/>
      </c>
    </row>
    <row r="23" ht="18" customHeight="1">
      <c r="A23" s="13" t="inlineStr">
        <is>
          <t>性能测试</t>
        </is>
      </c>
      <c r="B23" s="14" t="inlineStr">
        <is>
          <t>性能测试</t>
        </is>
      </c>
      <c r="C23" s="14">
        <f>IFERROR(COUNTA(INDIRECT("'"&amp;$B23&amp;"'!A4:A10000")),0)</f>
        <v/>
      </c>
      <c r="D23" s="15">
        <f>IFERROR(COUNTIF(INDIRECT("'"&amp;$B23&amp;"'!I4:I10000"),"通过"),0)</f>
        <v/>
      </c>
      <c r="E23" s="16">
        <f>IFERROR(COUNTIF(INDIRECT("'"&amp;$B23&amp;"'!I4:I10000"),"失败"),0)</f>
        <v/>
      </c>
      <c r="F23" s="17">
        <f>IFERROR(COUNTIF(INDIRECT("'"&amp;$B23&amp;"'!I4:I10000"),"阻塞"),0)</f>
        <v/>
      </c>
      <c r="G23" s="14">
        <f>IFERROR(COUNTIF(INDIRECT("'"&amp;$B23&amp;"'!I4:I10000"),"未执行"),0)</f>
        <v/>
      </c>
      <c r="H23" s="18">
        <f>IFERROR(COUNTIF(INDIRECT("'"&amp;$B23&amp;"'!I4:I10000"),"跳过"),0)</f>
        <v/>
      </c>
      <c r="I23" s="18">
        <f>IFERROR(D23/C23,"-")</f>
        <v/>
      </c>
    </row>
    <row r="24" ht="18" customHeight="1">
      <c r="A24" s="13" t="inlineStr">
        <is>
          <t>安全测试</t>
        </is>
      </c>
      <c r="B24" s="14" t="inlineStr">
        <is>
          <t>安全测试</t>
        </is>
      </c>
      <c r="C24" s="14">
        <f>IFERROR(COUNTA(INDIRECT("'"&amp;$B24&amp;"'!A4:A10000")),0)</f>
        <v/>
      </c>
      <c r="D24" s="15">
        <f>IFERROR(COUNTIF(INDIRECT("'"&amp;$B24&amp;"'!I4:I10000"),"通过"),0)</f>
        <v/>
      </c>
      <c r="E24" s="16">
        <f>IFERROR(COUNTIF(INDIRECT("'"&amp;$B24&amp;"'!I4:I10000"),"失败"),0)</f>
        <v/>
      </c>
      <c r="F24" s="17">
        <f>IFERROR(COUNTIF(INDIRECT("'"&amp;$B24&amp;"'!I4:I10000"),"阻塞"),0)</f>
        <v/>
      </c>
      <c r="G24" s="14">
        <f>IFERROR(COUNTIF(INDIRECT("'"&amp;$B24&amp;"'!I4:I10000"),"未执行"),0)</f>
        <v/>
      </c>
      <c r="H24" s="18">
        <f>IFERROR(COUNTIF(INDIRECT("'"&amp;$B24&amp;"'!I4:I10000"),"跳过"),0)</f>
        <v/>
      </c>
      <c r="I24" s="18">
        <f>IFERROR(D24/C24,"-")</f>
        <v/>
      </c>
    </row>
    <row r="25" ht="18" customHeight="1">
      <c r="A25" s="13" t="inlineStr">
        <is>
          <t>回归测试</t>
        </is>
      </c>
      <c r="B25" s="14" t="inlineStr">
        <is>
          <t>回归测试</t>
        </is>
      </c>
      <c r="C25" s="14">
        <f>IFERROR(COUNTA(INDIRECT("'"&amp;$B25&amp;"'!A4:A10000")),0)</f>
        <v/>
      </c>
      <c r="D25" s="15">
        <f>IFERROR(COUNTIF(INDIRECT("'"&amp;$B25&amp;"'!I4:I10000"),"通过"),0)</f>
        <v/>
      </c>
      <c r="E25" s="16">
        <f>IFERROR(COUNTIF(INDIRECT("'"&amp;$B25&amp;"'!I4:I10000"),"失败"),0)</f>
        <v/>
      </c>
      <c r="F25" s="17">
        <f>IFERROR(COUNTIF(INDIRECT("'"&amp;$B25&amp;"'!I4:I10000"),"阻塞"),0)</f>
        <v/>
      </c>
      <c r="G25" s="14">
        <f>IFERROR(COUNTIF(INDIRECT("'"&amp;$B25&amp;"'!I4:I10000"),"未执行"),0)</f>
        <v/>
      </c>
      <c r="H25" s="18">
        <f>IFERROR(COUNTIF(INDIRECT("'"&amp;$B25&amp;"'!I4:I10000"),"跳过"),0)</f>
        <v/>
      </c>
      <c r="I25" s="18">
        <f>IFERROR(D25/C25,"-")</f>
        <v/>
      </c>
    </row>
    <row r="26" ht="20" customHeight="1">
      <c r="A26" s="13" t="inlineStr">
        <is>
          <t>资源约束测试</t>
        </is>
      </c>
      <c r="B26" s="14" t="inlineStr">
        <is>
          <t>资源约束测试</t>
        </is>
      </c>
      <c r="C26" s="14">
        <f>IFERROR(COUNTA(INDIRECT("'"&amp;$B26&amp;"'!A4:A10000")),0)</f>
        <v/>
      </c>
      <c r="D26" s="15">
        <f>IFERROR(COUNTIF(INDIRECT("'"&amp;$B26&amp;"'!I4:I10000"),"通过"),0)</f>
        <v/>
      </c>
      <c r="E26" s="16">
        <f>IFERROR(COUNTIF(INDIRECT("'"&amp;$B26&amp;"'!I4:I10000"),"失败"),0)</f>
        <v/>
      </c>
      <c r="F26" s="17">
        <f>IFERROR(COUNTIF(INDIRECT("'"&amp;$B26&amp;"'!I4:I10000"),"阻塞"),0)</f>
        <v/>
      </c>
      <c r="G26" s="14">
        <f>IFERROR(COUNTIF(INDIRECT("'"&amp;$B26&amp;"'!I4:I10000"),"未执行"),0)</f>
        <v/>
      </c>
      <c r="H26" s="18">
        <f>IFERROR(COUNTIF(INDIRECT("'"&amp;$B26&amp;"'!I4:I10000"),"跳过"),0)</f>
        <v/>
      </c>
      <c r="I26" s="18">
        <f>IFERROR(D26/C26,"-")</f>
        <v/>
      </c>
    </row>
    <row r="27" ht="6" customHeight="1">
      <c r="A27" s="19" t="inlineStr">
        <is>
          <t>合计</t>
        </is>
      </c>
      <c r="C27" s="19">
        <f>SUM(C20:C26)</f>
        <v/>
      </c>
      <c r="D27" s="19">
        <f>SUM(D20:D26)</f>
        <v/>
      </c>
      <c r="E27" s="19">
        <f>SUM(E20:E26)</f>
        <v/>
      </c>
      <c r="F27" s="19">
        <f>SUM(F20:F26)</f>
        <v/>
      </c>
      <c r="G27" s="19">
        <f>SUM(G20:G26)</f>
        <v/>
      </c>
      <c r="H27" s="20">
        <f>SUM(H20:H26)</f>
        <v/>
      </c>
      <c r="I27" s="20">
        <f>IFERROR(D27/C27,"-")</f>
        <v/>
      </c>
    </row>
    <row r="28" ht="22" customHeight="1">
      <c r="A28" s="3" t="n"/>
    </row>
    <row r="29" ht="22" customHeight="1">
      <c r="A29" s="3" t="inlineStr">
        <is>
          <t>测试结论</t>
        </is>
      </c>
      <c r="B29" s="27" t="n"/>
      <c r="C29" s="27" t="n"/>
      <c r="D29" s="27" t="n"/>
      <c r="E29" s="27" t="n"/>
      <c r="F29" s="27" t="n"/>
      <c r="G29" s="27" t="n"/>
      <c r="H29" s="27" t="n"/>
      <c r="I29" s="28" t="n"/>
    </row>
    <row r="30" ht="22" customHeight="1">
      <c r="A30" s="4" t="inlineStr">
        <is>
          <t>整体测试结论</t>
        </is>
      </c>
      <c r="B30" s="5" t="inlineStr">
        <is>
          <t>{{通过 / 条件通过 / 不通过}}</t>
        </is>
      </c>
      <c r="C30" s="27" t="n"/>
      <c r="D30" s="27" t="n"/>
      <c r="E30" s="27" t="n"/>
      <c r="F30" s="27" t="n"/>
      <c r="G30" s="27" t="n"/>
      <c r="H30" s="27" t="n"/>
      <c r="I30" s="28" t="n"/>
    </row>
    <row r="31" ht="22" customHeight="1">
      <c r="A31" s="4" t="inlineStr">
        <is>
          <t>遗留缺陷摘要</t>
        </is>
      </c>
      <c r="B31" s="5" t="inlineStr">
        <is>
          <t>{{P0: 0 条，P1: x 条，P2: x 条}}</t>
        </is>
      </c>
      <c r="C31" s="27" t="n"/>
      <c r="D31" s="27" t="n"/>
      <c r="E31" s="27" t="n"/>
      <c r="F31" s="27" t="n"/>
      <c r="G31" s="27" t="n"/>
      <c r="H31" s="27" t="n"/>
      <c r="I31" s="28" t="n"/>
    </row>
    <row r="32" ht="22" customHeight="1">
      <c r="A32" s="4" t="inlineStr">
        <is>
          <t>风险说明</t>
        </is>
      </c>
      <c r="B32" s="5" t="inlineStr">
        <is>
          <t>{{如有遗留风险或测试覆盖外的已知问题，在此说明；无则填 无}}</t>
        </is>
      </c>
      <c r="C32" s="27" t="n"/>
      <c r="D32" s="27" t="n"/>
      <c r="E32" s="27" t="n"/>
      <c r="F32" s="27" t="n"/>
      <c r="G32" s="27" t="n"/>
      <c r="H32" s="27" t="n"/>
      <c r="I32" s="28" t="n"/>
    </row>
    <row r="33">
      <c r="A33" s="4" t="inlineStr">
        <is>
          <t>测试人签字</t>
        </is>
      </c>
      <c r="B33" s="5" t="inlineStr">
        <is>
          <t>{{姓名 + 日期}}</t>
        </is>
      </c>
      <c r="C33" s="27" t="n"/>
      <c r="D33" s="27" t="n"/>
      <c r="E33" s="27" t="n"/>
      <c r="F33" s="27" t="n"/>
      <c r="G33" s="27" t="n"/>
      <c r="H33" s="27" t="n"/>
      <c r="I33" s="28" t="n"/>
    </row>
  </sheetData>
  <mergeCells count="21">
    <mergeCell ref="B9:H9"/>
    <mergeCell ref="B6:H6"/>
    <mergeCell ref="A18:I18"/>
    <mergeCell ref="B15:H15"/>
    <mergeCell ref="A1:H1"/>
    <mergeCell ref="B31:I31"/>
    <mergeCell ref="B5:H5"/>
    <mergeCell ref="B4:H4"/>
    <mergeCell ref="B16:H16"/>
    <mergeCell ref="B7:H7"/>
    <mergeCell ref="A29:I29"/>
    <mergeCell ref="A3:H3"/>
    <mergeCell ref="B12:H12"/>
    <mergeCell ref="B11:H11"/>
    <mergeCell ref="B8:H8"/>
    <mergeCell ref="B14:H14"/>
    <mergeCell ref="B30:I30"/>
    <mergeCell ref="B13:H13"/>
    <mergeCell ref="B33:I33"/>
    <mergeCell ref="B10:H10"/>
    <mergeCell ref="B32:I3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30" customWidth="1" min="7" max="7"/>
    <col width="30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30" customHeight="1">
      <c r="A1" s="21" t="inlineStr">
        <is>
          <t>{{项目主题}}  —  单元测试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6" customHeight="1">
      <c r="A2" s="22" t="inlineStr">
        <is>
          <t>测试状态：通过 | 失败 | 阻塞 | 未执行 | 跳过          优先级：P0 阻塞  P1 严重  P2 一般  P3 轻微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</row>
    <row r="3" ht="22" customHeight="1">
      <c r="A3" s="6" t="inlineStr">
        <is>
          <t>TC-ID</t>
        </is>
      </c>
      <c r="B3" s="6" t="inlineStr">
        <is>
          <t>模块</t>
        </is>
      </c>
      <c r="C3" s="6" t="inlineStr">
        <is>
          <t>测试场景</t>
        </is>
      </c>
      <c r="D3" s="6" t="inlineStr">
        <is>
          <t>优先级</t>
        </is>
      </c>
      <c r="E3" s="6" t="inlineStr">
        <is>
          <t>前置条件</t>
        </is>
      </c>
      <c r="F3" s="6" t="inlineStr">
        <is>
          <t>输入/操作步骤</t>
        </is>
      </c>
      <c r="G3" s="6" t="inlineStr">
        <is>
          <t>预期结果</t>
        </is>
      </c>
      <c r="H3" s="6" t="inlineStr">
        <is>
          <t>实际结果</t>
        </is>
      </c>
      <c r="I3" s="6" t="inlineStr">
        <is>
          <t>测试状态</t>
        </is>
      </c>
      <c r="J3" s="6" t="inlineStr">
        <is>
          <t>测试人</t>
        </is>
      </c>
      <c r="K3" s="6" t="inlineStr">
        <is>
          <t>测试日期</t>
        </is>
      </c>
      <c r="L3" s="6" t="inlineStr">
        <is>
          <t>备注</t>
        </is>
      </c>
    </row>
    <row r="4" ht="36" customHeight="1">
      <c r="A4" s="23" t="inlineStr">
        <is>
          <t>UT-001</t>
        </is>
      </c>
      <c r="B4" s="23" t="inlineStr">
        <is>
          <t>{{模块 A}}</t>
        </is>
      </c>
      <c r="C4" s="23" t="inlineStr">
        <is>
          <t>核心函数正常返回预期值</t>
        </is>
      </c>
      <c r="D4" s="24" t="inlineStr">
        <is>
          <t>P0</t>
        </is>
      </c>
      <c r="E4" s="23" t="inlineStr">
        <is>
          <t>模块已初始化</t>
        </is>
      </c>
      <c r="F4" s="23" t="inlineStr">
        <is>
          <t>1. 传入有效参数组合
2. 调用目标函数</t>
        </is>
      </c>
      <c r="G4" s="23" t="inlineStr">
        <is>
          <t>返回预期结果，无异常</t>
        </is>
      </c>
      <c r="H4" s="23" t="inlineStr"/>
      <c r="I4" s="24" t="inlineStr">
        <is>
          <t>未执行</t>
        </is>
      </c>
      <c r="J4" s="24" t="inlineStr"/>
      <c r="K4" s="24" t="inlineStr"/>
      <c r="L4" s="23" t="inlineStr"/>
    </row>
    <row r="5" ht="36" customHeight="1">
      <c r="A5" s="25" t="inlineStr">
        <is>
          <t>UT-002</t>
        </is>
      </c>
      <c r="B5" s="25" t="inlineStr">
        <is>
          <t>{{模块 A}}</t>
        </is>
      </c>
      <c r="C5" s="25" t="inlineStr">
        <is>
          <t>空值 / null 输入处理</t>
        </is>
      </c>
      <c r="D5" s="26" t="inlineStr">
        <is>
          <t>P0</t>
        </is>
      </c>
      <c r="E5" s="25" t="inlineStr">
        <is>
          <t>模块已初始化</t>
        </is>
      </c>
      <c r="F5" s="25" t="inlineStr">
        <is>
          <t>1. 传入空值或 null
2. 调用目标函数</t>
        </is>
      </c>
      <c r="G5" s="25" t="inlineStr">
        <is>
          <t>返回错误码或受控异常，不崩溃</t>
        </is>
      </c>
      <c r="H5" s="25" t="inlineStr"/>
      <c r="I5" s="26" t="inlineStr">
        <is>
          <t>未执行</t>
        </is>
      </c>
      <c r="J5" s="26" t="inlineStr"/>
      <c r="K5" s="26" t="inlineStr"/>
      <c r="L5" s="25" t="inlineStr"/>
    </row>
    <row r="6" ht="36" customHeight="1">
      <c r="A6" s="23" t="inlineStr">
        <is>
          <t>UT-003</t>
        </is>
      </c>
      <c r="B6" s="23" t="inlineStr">
        <is>
          <t>{{模块 A}}</t>
        </is>
      </c>
      <c r="C6" s="23" t="inlineStr">
        <is>
          <t>字段最大合法值边界</t>
        </is>
      </c>
      <c r="D6" s="24" t="inlineStr">
        <is>
          <t>P1</t>
        </is>
      </c>
      <c r="E6" s="23" t="inlineStr">
        <is>
          <t>模块已初始化</t>
        </is>
      </c>
      <c r="F6" s="23" t="inlineStr">
        <is>
          <t>1. 传入最大合法值
2. 调用目标函数</t>
        </is>
      </c>
      <c r="G6" s="23" t="inlineStr">
        <is>
          <t>正确处理，无溢出</t>
        </is>
      </c>
      <c r="H6" s="23" t="inlineStr"/>
      <c r="I6" s="24" t="inlineStr">
        <is>
          <t>未执行</t>
        </is>
      </c>
      <c r="J6" s="24" t="inlineStr"/>
      <c r="K6" s="24" t="inlineStr"/>
      <c r="L6" s="23" t="inlineStr"/>
    </row>
    <row r="7" ht="36" customHeight="1">
      <c r="A7" s="25" t="inlineStr">
        <is>
          <t>UT-004</t>
        </is>
      </c>
      <c r="B7" s="25" t="inlineStr">
        <is>
          <t>{{模块 A}}</t>
        </is>
      </c>
      <c r="C7" s="25" t="inlineStr">
        <is>
          <t>字段最大值 +1 超出边界</t>
        </is>
      </c>
      <c r="D7" s="26" t="inlineStr">
        <is>
          <t>P1</t>
        </is>
      </c>
      <c r="E7" s="25" t="inlineStr">
        <is>
          <t>模块已初始化</t>
        </is>
      </c>
      <c r="F7" s="25" t="inlineStr">
        <is>
          <t>1. 传入超出最大值的输入</t>
        </is>
      </c>
      <c r="G7" s="25" t="inlineStr">
        <is>
          <t>返回参数范围错误</t>
        </is>
      </c>
      <c r="H7" s="25" t="inlineStr"/>
      <c r="I7" s="26" t="inlineStr">
        <is>
          <t>未执行</t>
        </is>
      </c>
      <c r="J7" s="26" t="inlineStr"/>
      <c r="K7" s="26" t="inlineStr"/>
      <c r="L7" s="25" t="inlineStr"/>
    </row>
    <row r="8" ht="36" customHeight="1">
      <c r="A8" s="23" t="inlineStr">
        <is>
          <t>UT-005</t>
        </is>
      </c>
      <c r="B8" s="23" t="inlineStr">
        <is>
          <t>{{模块 B}}</t>
        </is>
      </c>
      <c r="C8" s="23" t="inlineStr">
        <is>
          <t>字段最小合法值边界</t>
        </is>
      </c>
      <c r="D8" s="24" t="inlineStr">
        <is>
          <t>P1</t>
        </is>
      </c>
      <c r="E8" s="23" t="inlineStr">
        <is>
          <t>模块已初始化</t>
        </is>
      </c>
      <c r="F8" s="23" t="inlineStr">
        <is>
          <t>1. 传入最小合法值</t>
        </is>
      </c>
      <c r="G8" s="23" t="inlineStr">
        <is>
          <t>正确处理</t>
        </is>
      </c>
      <c r="H8" s="23" t="inlineStr"/>
      <c r="I8" s="24" t="inlineStr">
        <is>
          <t>未执行</t>
        </is>
      </c>
      <c r="J8" s="24" t="inlineStr"/>
      <c r="K8" s="24" t="inlineStr"/>
      <c r="L8" s="23" t="inlineStr"/>
    </row>
    <row r="9" ht="36" customHeight="1">
      <c r="A9" s="25" t="inlineStr">
        <is>
          <t>UT-006</t>
        </is>
      </c>
      <c r="B9" s="25" t="inlineStr">
        <is>
          <t>{{模块 B}}</t>
        </is>
      </c>
      <c r="C9" s="25" t="inlineStr">
        <is>
          <t>字段最小值 -1 下界</t>
        </is>
      </c>
      <c r="D9" s="26" t="inlineStr">
        <is>
          <t>P1</t>
        </is>
      </c>
      <c r="E9" s="25" t="inlineStr">
        <is>
          <t>模块已初始化</t>
        </is>
      </c>
      <c r="F9" s="25" t="inlineStr">
        <is>
          <t>1. 传入低于最小值的输入</t>
        </is>
      </c>
      <c r="G9" s="25" t="inlineStr">
        <is>
          <t>返回参数范围错误</t>
        </is>
      </c>
      <c r="H9" s="25" t="inlineStr"/>
      <c r="I9" s="26" t="inlineStr">
        <is>
          <t>未执行</t>
        </is>
      </c>
      <c r="J9" s="26" t="inlineStr"/>
      <c r="K9" s="26" t="inlineStr"/>
      <c r="L9" s="25" t="inlineStr"/>
    </row>
    <row r="10" ht="36" customHeight="1">
      <c r="A10" s="23" t="inlineStr">
        <is>
          <t>UT-007</t>
        </is>
      </c>
      <c r="B10" s="23" t="inlineStr">
        <is>
          <t>{{状态机}}</t>
        </is>
      </c>
      <c r="C10" s="23" t="inlineStr">
        <is>
          <t>合法状态流转</t>
        </is>
      </c>
      <c r="D10" s="24" t="inlineStr">
        <is>
          <t>P0</t>
        </is>
      </c>
      <c r="E10" s="23" t="inlineStr">
        <is>
          <t>对象处于初始状态</t>
        </is>
      </c>
      <c r="F10" s="23" t="inlineStr">
        <is>
          <t>1. 触发合法事件
2. 验证目标状态
3. 验证关联动作</t>
        </is>
      </c>
      <c r="G10" s="23" t="inlineStr">
        <is>
          <t>状态正确变更，关联动作触发</t>
        </is>
      </c>
      <c r="H10" s="23" t="inlineStr"/>
      <c r="I10" s="24" t="inlineStr">
        <is>
          <t>未执行</t>
        </is>
      </c>
      <c r="J10" s="24" t="inlineStr"/>
      <c r="K10" s="24" t="inlineStr"/>
      <c r="L10" s="23" t="inlineStr"/>
    </row>
    <row r="11" ht="36" customHeight="1">
      <c r="A11" s="25" t="inlineStr">
        <is>
          <t>UT-008</t>
        </is>
      </c>
      <c r="B11" s="25" t="inlineStr">
        <is>
          <t>{{状态机}}</t>
        </is>
      </c>
      <c r="C11" s="25" t="inlineStr">
        <is>
          <t>非法状态转换被拒绝</t>
        </is>
      </c>
      <c r="D11" s="26" t="inlineStr">
        <is>
          <t>P0</t>
        </is>
      </c>
      <c r="E11" s="25" t="inlineStr">
        <is>
          <t>对象处于 A 状态</t>
        </is>
      </c>
      <c r="F11" s="25" t="inlineStr">
        <is>
          <t>1. 触发 A 状态下非法事件</t>
        </is>
      </c>
      <c r="G11" s="25" t="inlineStr">
        <is>
          <t>返回非法操作错误，状态不变</t>
        </is>
      </c>
      <c r="H11" s="25" t="inlineStr"/>
      <c r="I11" s="26" t="inlineStr">
        <is>
          <t>未执行</t>
        </is>
      </c>
      <c r="J11" s="26" t="inlineStr"/>
      <c r="K11" s="26" t="inlineStr"/>
      <c r="L11" s="25" t="inlineStr"/>
    </row>
    <row r="12" ht="36" customHeight="1">
      <c r="A12" s="23" t="inlineStr">
        <is>
          <t>UT-009</t>
        </is>
      </c>
      <c r="B12" s="23" t="inlineStr">
        <is>
          <t>{{模块 C}}</t>
        </is>
      </c>
      <c r="C12" s="23" t="inlineStr">
        <is>
          <t>返回值类型符合接口声明</t>
        </is>
      </c>
      <c r="D12" s="24" t="inlineStr">
        <is>
          <t>P1</t>
        </is>
      </c>
      <c r="E12" s="23" t="inlineStr">
        <is>
          <t>模块已初始化</t>
        </is>
      </c>
      <c r="F12" s="23" t="inlineStr">
        <is>
          <t>1. 调用函数
2. 检查返回类型</t>
        </is>
      </c>
      <c r="G12" s="23" t="inlineStr">
        <is>
          <t>类型符合接口声明</t>
        </is>
      </c>
      <c r="H12" s="23" t="inlineStr"/>
      <c r="I12" s="24" t="inlineStr">
        <is>
          <t>未执行</t>
        </is>
      </c>
      <c r="J12" s="24" t="inlineStr"/>
      <c r="K12" s="24" t="inlineStr"/>
      <c r="L12" s="23" t="inlineStr"/>
    </row>
    <row r="13" ht="36" customHeight="1">
      <c r="A13" s="25" t="inlineStr">
        <is>
          <t>UT-010</t>
        </is>
      </c>
      <c r="B13" s="25" t="inlineStr">
        <is>
          <t>{{模块 A}}</t>
        </is>
      </c>
      <c r="C13" s="25" t="inlineStr">
        <is>
          <t>并发调用线程安全</t>
        </is>
      </c>
      <c r="D13" s="26" t="inlineStr">
        <is>
          <t>P1</t>
        </is>
      </c>
      <c r="E13" s="25" t="inlineStr">
        <is>
          <t>多线程环境就绪</t>
        </is>
      </c>
      <c r="F13" s="25" t="inlineStr">
        <is>
          <t>1. N 线程同时调用
2. 等待完成</t>
        </is>
      </c>
      <c r="G13" s="25" t="inlineStr">
        <is>
          <t>所有调用独立完成，无状态污染</t>
        </is>
      </c>
      <c r="H13" s="25" t="inlineStr"/>
      <c r="I13" s="26" t="inlineStr">
        <is>
          <t>未执行</t>
        </is>
      </c>
      <c r="J13" s="26" t="inlineStr"/>
      <c r="K13" s="26" t="inlineStr"/>
      <c r="L13" s="2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30" customWidth="1" min="7" max="7"/>
    <col width="30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30" customHeight="1">
      <c r="A1" s="21" t="inlineStr">
        <is>
          <t>{{项目主题}}  —  集成测试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6" customHeight="1">
      <c r="A2" s="22" t="inlineStr">
        <is>
          <t>测试状态：通过 | 失败 | 阻塞 | 未执行 | 跳过          优先级：P0 阻塞  P1 严重  P2 一般  P3 轻微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</row>
    <row r="3" ht="22" customHeight="1">
      <c r="A3" s="6" t="inlineStr">
        <is>
          <t>TC-ID</t>
        </is>
      </c>
      <c r="B3" s="6" t="inlineStr">
        <is>
          <t>模块</t>
        </is>
      </c>
      <c r="C3" s="6" t="inlineStr">
        <is>
          <t>测试场景</t>
        </is>
      </c>
      <c r="D3" s="6" t="inlineStr">
        <is>
          <t>优先级</t>
        </is>
      </c>
      <c r="E3" s="6" t="inlineStr">
        <is>
          <t>前置条件</t>
        </is>
      </c>
      <c r="F3" s="6" t="inlineStr">
        <is>
          <t>输入/操作步骤</t>
        </is>
      </c>
      <c r="G3" s="6" t="inlineStr">
        <is>
          <t>预期结果</t>
        </is>
      </c>
      <c r="H3" s="6" t="inlineStr">
        <is>
          <t>实际结果</t>
        </is>
      </c>
      <c r="I3" s="6" t="inlineStr">
        <is>
          <t>测试状态</t>
        </is>
      </c>
      <c r="J3" s="6" t="inlineStr">
        <is>
          <t>测试人</t>
        </is>
      </c>
      <c r="K3" s="6" t="inlineStr">
        <is>
          <t>测试日期</t>
        </is>
      </c>
      <c r="L3" s="6" t="inlineStr">
        <is>
          <t>备注</t>
        </is>
      </c>
    </row>
    <row r="4" ht="36" customHeight="1">
      <c r="A4" s="23" t="inlineStr">
        <is>
          <t>IT-001</t>
        </is>
      </c>
      <c r="B4" s="23" t="inlineStr">
        <is>
          <t>{{模块 A+B}}</t>
        </is>
      </c>
      <c r="C4" s="23" t="inlineStr">
        <is>
          <t>创建资源端到端验证</t>
        </is>
      </c>
      <c r="D4" s="24" t="inlineStr">
        <is>
          <t>P0</t>
        </is>
      </c>
      <c r="E4" s="23" t="inlineStr">
        <is>
          <t>服务已启动；测试 DB 就绪</t>
        </is>
      </c>
      <c r="F4" s="23" t="inlineStr">
        <is>
          <t>1. 调用创建 API（有效参数）
2. 验证响应码和字段
3. 查询 DB 确认记录</t>
        </is>
      </c>
      <c r="G4" s="23" t="inlineStr">
        <is>
          <t>API 返回 201；DB 记录与请求一致</t>
        </is>
      </c>
      <c r="H4" s="23" t="inlineStr"/>
      <c r="I4" s="24" t="inlineStr">
        <is>
          <t>未执行</t>
        </is>
      </c>
      <c r="J4" s="24" t="inlineStr"/>
      <c r="K4" s="24" t="inlineStr"/>
      <c r="L4" s="23" t="inlineStr"/>
    </row>
    <row r="5" ht="36" customHeight="1">
      <c r="A5" s="25" t="inlineStr">
        <is>
          <t>IT-002</t>
        </is>
      </c>
      <c r="B5" s="25" t="inlineStr">
        <is>
          <t>{{模块 B+C}}</t>
        </is>
      </c>
      <c r="C5" s="25" t="inlineStr">
        <is>
          <t>跨模块数据流转</t>
        </is>
      </c>
      <c r="D5" s="26" t="inlineStr">
        <is>
          <t>P0</t>
        </is>
      </c>
      <c r="E5" s="25" t="inlineStr">
        <is>
          <t>两模块均已启动</t>
        </is>
      </c>
      <c r="F5" s="25" t="inlineStr">
        <is>
          <t>1. 模块 B 产生输出
2. 验证模块 C 接收并处理</t>
        </is>
      </c>
      <c r="G5" s="25" t="inlineStr">
        <is>
          <t>数据完整传递，字段格式一致</t>
        </is>
      </c>
      <c r="H5" s="25" t="inlineStr"/>
      <c r="I5" s="26" t="inlineStr">
        <is>
          <t>未执行</t>
        </is>
      </c>
      <c r="J5" s="26" t="inlineStr"/>
      <c r="K5" s="26" t="inlineStr"/>
      <c r="L5" s="25" t="inlineStr"/>
    </row>
    <row r="6" ht="36" customHeight="1">
      <c r="A6" s="23" t="inlineStr">
        <is>
          <t>IT-003</t>
        </is>
      </c>
      <c r="B6" s="23" t="inlineStr">
        <is>
          <t>{{Auth + API}}</t>
        </is>
      </c>
      <c r="C6" s="23" t="inlineStr">
        <is>
          <t>未携带 Token 访问受保护资源</t>
        </is>
      </c>
      <c r="D6" s="24" t="inlineStr">
        <is>
          <t>P0</t>
        </is>
      </c>
      <c r="E6" s="23" t="inlineStr">
        <is>
          <t>服务就绪</t>
        </is>
      </c>
      <c r="F6" s="23" t="inlineStr">
        <is>
          <t>1. 不携带 Authorization Header
2. 请求受保护 API</t>
        </is>
      </c>
      <c r="G6" s="23" t="inlineStr">
        <is>
          <t>返回 401；响应体无资源数据</t>
        </is>
      </c>
      <c r="H6" s="23" t="inlineStr"/>
      <c r="I6" s="24" t="inlineStr">
        <is>
          <t>未执行</t>
        </is>
      </c>
      <c r="J6" s="24" t="inlineStr"/>
      <c r="K6" s="24" t="inlineStr"/>
      <c r="L6" s="23" t="inlineStr"/>
    </row>
    <row r="7" ht="36" customHeight="1">
      <c r="A7" s="25" t="inlineStr">
        <is>
          <t>IT-004</t>
        </is>
      </c>
      <c r="B7" s="25" t="inlineStr">
        <is>
          <t>{{Auth + API}}</t>
        </is>
      </c>
      <c r="C7" s="25" t="inlineStr">
        <is>
          <t>权限不足越权访问</t>
        </is>
      </c>
      <c r="D7" s="26" t="inlineStr">
        <is>
          <t>P0</t>
        </is>
      </c>
      <c r="E7" s="25" t="inlineStr">
        <is>
          <t>低权限账号存在</t>
        </is>
      </c>
      <c r="F7" s="25" t="inlineStr">
        <is>
          <t>1. 低权限账号请求高权限资源</t>
        </is>
      </c>
      <c r="G7" s="25" t="inlineStr">
        <is>
          <t>返回 403；无数据泄露</t>
        </is>
      </c>
      <c r="H7" s="25" t="inlineStr"/>
      <c r="I7" s="26" t="inlineStr">
        <is>
          <t>未执行</t>
        </is>
      </c>
      <c r="J7" s="26" t="inlineStr"/>
      <c r="K7" s="26" t="inlineStr"/>
      <c r="L7" s="25" t="inlineStr"/>
    </row>
    <row r="8" ht="36" customHeight="1">
      <c r="A8" s="23" t="inlineStr">
        <is>
          <t>IT-005</t>
        </is>
      </c>
      <c r="B8" s="23" t="inlineStr">
        <is>
          <t>{{模块 B}}</t>
        </is>
      </c>
      <c r="C8" s="23" t="inlineStr">
        <is>
          <t>幂等性验证（重复请求）</t>
        </is>
      </c>
      <c r="D8" s="24" t="inlineStr">
        <is>
          <t>P0</t>
        </is>
      </c>
      <c r="E8" s="23" t="inlineStr">
        <is>
          <t>首次请求已成功</t>
        </is>
      </c>
      <c r="F8" s="23" t="inlineStr">
        <is>
          <t>1. 使用相同请求 ID 重复提交
2. 验证第二次响应</t>
        </is>
      </c>
      <c r="G8" s="23" t="inlineStr">
        <is>
          <t>返回相同结果；无重复副作用；DB 无重复记录</t>
        </is>
      </c>
      <c r="H8" s="23" t="inlineStr"/>
      <c r="I8" s="24" t="inlineStr">
        <is>
          <t>未执行</t>
        </is>
      </c>
      <c r="J8" s="24" t="inlineStr"/>
      <c r="K8" s="24" t="inlineStr"/>
      <c r="L8" s="23" t="inlineStr"/>
    </row>
    <row r="9" ht="36" customHeight="1">
      <c r="A9" s="25" t="inlineStr">
        <is>
          <t>IT-006</t>
        </is>
      </c>
      <c r="B9" s="25" t="inlineStr">
        <is>
          <t>{{模块 B}}</t>
        </is>
      </c>
      <c r="C9" s="25" t="inlineStr">
        <is>
          <t>事务回滚验证</t>
        </is>
      </c>
      <c r="D9" s="26" t="inlineStr">
        <is>
          <t>P0</t>
        </is>
      </c>
      <c r="E9" s="25" t="inlineStr">
        <is>
          <t>DB 就绪</t>
        </is>
      </c>
      <c r="F9" s="25" t="inlineStr">
        <is>
          <t>1. 开始事务
2. 模拟第二个操作失败
3. 验证 DB 状态</t>
        </is>
      </c>
      <c r="G9" s="25" t="inlineStr">
        <is>
          <t>所有操作全部回滚；DB 无脏数据</t>
        </is>
      </c>
      <c r="H9" s="25" t="inlineStr"/>
      <c r="I9" s="26" t="inlineStr">
        <is>
          <t>未执行</t>
        </is>
      </c>
      <c r="J9" s="26" t="inlineStr"/>
      <c r="K9" s="26" t="inlineStr"/>
      <c r="L9" s="25" t="inlineStr"/>
    </row>
    <row r="10" ht="36" customHeight="1">
      <c r="A10" s="23" t="inlineStr">
        <is>
          <t>IT-007</t>
        </is>
      </c>
      <c r="B10" s="23" t="inlineStr">
        <is>
          <t>{{模块 C}}</t>
        </is>
      </c>
      <c r="C10" s="23" t="inlineStr">
        <is>
          <t>外部依赖不可用降级处理</t>
        </is>
      </c>
      <c r="D10" s="24" t="inlineStr">
        <is>
          <t>P1</t>
        </is>
      </c>
      <c r="E10" s="23" t="inlineStr">
        <is>
          <t>外部依赖已关闭</t>
        </is>
      </c>
      <c r="F10" s="23" t="inlineStr">
        <is>
          <t>1. 触发依赖外部服务的操作</t>
        </is>
      </c>
      <c r="G10" s="23" t="inlineStr">
        <is>
          <t>降级响应或 503；不崩溃；记录错误日志</t>
        </is>
      </c>
      <c r="H10" s="23" t="inlineStr"/>
      <c r="I10" s="24" t="inlineStr">
        <is>
          <t>未执行</t>
        </is>
      </c>
      <c r="J10" s="24" t="inlineStr"/>
      <c r="K10" s="24" t="inlineStr"/>
      <c r="L10" s="23" t="inlineStr"/>
    </row>
    <row r="11" ht="36" customHeight="1">
      <c r="A11" s="25" t="inlineStr">
        <is>
          <t>IT-008</t>
        </is>
      </c>
      <c r="B11" s="25" t="inlineStr">
        <is>
          <t>{{模块 A}}</t>
        </is>
      </c>
      <c r="C11" s="25" t="inlineStr">
        <is>
          <t>超时重试机制</t>
        </is>
      </c>
      <c r="D11" s="26" t="inlineStr">
        <is>
          <t>P1</t>
        </is>
      </c>
      <c r="E11" s="25" t="inlineStr">
        <is>
          <t>网络延迟 / 超时环境</t>
        </is>
      </c>
      <c r="F11" s="25" t="inlineStr">
        <is>
          <t>1. 配置短超时
2. 发送需长时间处理的请求</t>
        </is>
      </c>
      <c r="G11" s="25" t="inlineStr">
        <is>
          <t>触发超时错误；重试策略正确执行</t>
        </is>
      </c>
      <c r="H11" s="25" t="inlineStr"/>
      <c r="I11" s="26" t="inlineStr">
        <is>
          <t>未执行</t>
        </is>
      </c>
      <c r="J11" s="26" t="inlineStr"/>
      <c r="K11" s="26" t="inlineStr"/>
      <c r="L11" s="25" t="inlineStr"/>
    </row>
    <row r="12" ht="36" customHeight="1">
      <c r="A12" s="23" t="inlineStr">
        <is>
          <t>IT-009</t>
        </is>
      </c>
      <c r="B12" s="23" t="inlineStr">
        <is>
          <t>{{模块 B}}</t>
        </is>
      </c>
      <c r="C12" s="23" t="inlineStr">
        <is>
          <t>数据更新后一致性</t>
        </is>
      </c>
      <c r="D12" s="24" t="inlineStr">
        <is>
          <t>P0</t>
        </is>
      </c>
      <c r="E12" s="23" t="inlineStr">
        <is>
          <t>目标记录已存在</t>
        </is>
      </c>
      <c r="F12" s="23" t="inlineStr">
        <is>
          <t>1. 调用更新 API
2. 立即查询</t>
        </is>
      </c>
      <c r="G12" s="23" t="inlineStr">
        <is>
          <t>响应和 DB 均反映更新后状态</t>
        </is>
      </c>
      <c r="H12" s="23" t="inlineStr"/>
      <c r="I12" s="24" t="inlineStr">
        <is>
          <t>未执行</t>
        </is>
      </c>
      <c r="J12" s="24" t="inlineStr"/>
      <c r="K12" s="24" t="inlineStr"/>
      <c r="L12" s="23" t="inlineStr"/>
    </row>
    <row r="13" ht="36" customHeight="1">
      <c r="A13" s="25" t="inlineStr">
        <is>
          <t>IT-010</t>
        </is>
      </c>
      <c r="B13" s="25" t="inlineStr">
        <is>
          <t>{{模块 B+DB}}</t>
        </is>
      </c>
      <c r="C13" s="25" t="inlineStr">
        <is>
          <t>并发写入无数据竞争</t>
        </is>
      </c>
      <c r="D13" s="26" t="inlineStr">
        <is>
          <t>P1</t>
        </is>
      </c>
      <c r="E13" s="25" t="inlineStr">
        <is>
          <t>DB 就绪</t>
        </is>
      </c>
      <c r="F13" s="25" t="inlineStr">
        <is>
          <t>1. 同时发起 N 个写入请求
2. 验证最终状态</t>
        </is>
      </c>
      <c r="G13" s="25" t="inlineStr">
        <is>
          <t>结果一致；无竞争；无数据丢失</t>
        </is>
      </c>
      <c r="H13" s="25" t="inlineStr"/>
      <c r="I13" s="26" t="inlineStr">
        <is>
          <t>未执行</t>
        </is>
      </c>
      <c r="J13" s="26" t="inlineStr"/>
      <c r="K13" s="26" t="inlineStr"/>
      <c r="L13" s="2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30" customWidth="1" min="7" max="7"/>
    <col width="30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30" customHeight="1">
      <c r="A1" s="21" t="inlineStr">
        <is>
          <t>{{项目主题}}  —  系统测试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6" customHeight="1">
      <c r="A2" s="22" t="inlineStr">
        <is>
          <t>测试状态：通过 | 失败 | 阻塞 | 未执行 | 跳过          优先级：P0 阻塞  P1 严重  P2 一般  P3 轻微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</row>
    <row r="3" ht="22" customHeight="1">
      <c r="A3" s="6" t="inlineStr">
        <is>
          <t>TC-ID</t>
        </is>
      </c>
      <c r="B3" s="6" t="inlineStr">
        <is>
          <t>模块</t>
        </is>
      </c>
      <c r="C3" s="6" t="inlineStr">
        <is>
          <t>测试场景</t>
        </is>
      </c>
      <c r="D3" s="6" t="inlineStr">
        <is>
          <t>优先级</t>
        </is>
      </c>
      <c r="E3" s="6" t="inlineStr">
        <is>
          <t>前置条件</t>
        </is>
      </c>
      <c r="F3" s="6" t="inlineStr">
        <is>
          <t>输入/操作步骤</t>
        </is>
      </c>
      <c r="G3" s="6" t="inlineStr">
        <is>
          <t>预期结果</t>
        </is>
      </c>
      <c r="H3" s="6" t="inlineStr">
        <is>
          <t>实际结果</t>
        </is>
      </c>
      <c r="I3" s="6" t="inlineStr">
        <is>
          <t>测试状态</t>
        </is>
      </c>
      <c r="J3" s="6" t="inlineStr">
        <is>
          <t>测试人</t>
        </is>
      </c>
      <c r="K3" s="6" t="inlineStr">
        <is>
          <t>测试日期</t>
        </is>
      </c>
      <c r="L3" s="6" t="inlineStr">
        <is>
          <t>备注</t>
        </is>
      </c>
    </row>
    <row r="4" ht="36" customHeight="1">
      <c r="A4" s="23" t="inlineStr">
        <is>
          <t>ST-001</t>
        </is>
      </c>
      <c r="B4" s="23" t="inlineStr">
        <is>
          <t>全链路</t>
        </is>
      </c>
      <c r="C4" s="23" t="inlineStr">
        <is>
          <t>主业务流程端到端验证</t>
        </is>
      </c>
      <c r="D4" s="24" t="inlineStr">
        <is>
          <t>P0</t>
        </is>
      </c>
      <c r="E4" s="23" t="inlineStr">
        <is>
          <t>系统全量就绪；测试账号存在</t>
        </is>
      </c>
      <c r="F4" s="23" t="inlineStr">
        <is>
          <t>1. 从入口发起完整业务请求
2. 经过完整链路
3. 验证最终状态和 DB</t>
        </is>
      </c>
      <c r="G4" s="23" t="inlineStr">
        <is>
          <t>端到端结果符合需求；DB 和响应一致</t>
        </is>
      </c>
      <c r="H4" s="23" t="inlineStr"/>
      <c r="I4" s="24" t="inlineStr">
        <is>
          <t>未执行</t>
        </is>
      </c>
      <c r="J4" s="24" t="inlineStr"/>
      <c r="K4" s="24" t="inlineStr"/>
      <c r="L4" s="23" t="inlineStr"/>
    </row>
    <row r="5" ht="36" customHeight="1">
      <c r="A5" s="25" t="inlineStr">
        <is>
          <t>ST-002</t>
        </is>
      </c>
      <c r="B5" s="25" t="inlineStr">
        <is>
          <t>UI + 后端</t>
        </is>
      </c>
      <c r="C5" s="25" t="inlineStr">
        <is>
          <t>用户主操作链路验证</t>
        </is>
      </c>
      <c r="D5" s="26" t="inlineStr">
        <is>
          <t>P0</t>
        </is>
      </c>
      <c r="E5" s="25" t="inlineStr">
        <is>
          <t>UI 和后端均已部署</t>
        </is>
      </c>
      <c r="F5" s="25" t="inlineStr">
        <is>
          <t>1. 模拟用户完整操作链路</t>
        </is>
      </c>
      <c r="G5" s="25" t="inlineStr">
        <is>
          <t>UI 展示正确；后端数据正确更新</t>
        </is>
      </c>
      <c r="H5" s="25" t="inlineStr"/>
      <c r="I5" s="26" t="inlineStr">
        <is>
          <t>未执行</t>
        </is>
      </c>
      <c r="J5" s="26" t="inlineStr"/>
      <c r="K5" s="26" t="inlineStr"/>
      <c r="L5" s="25" t="inlineStr"/>
    </row>
    <row r="6" ht="36" customHeight="1">
      <c r="A6" s="23" t="inlineStr">
        <is>
          <t>ST-003</t>
        </is>
      </c>
      <c r="B6" s="23" t="inlineStr">
        <is>
          <t>全链路</t>
        </is>
      </c>
      <c r="C6" s="23" t="inlineStr">
        <is>
          <t>多用户并发场景</t>
        </is>
      </c>
      <c r="D6" s="24" t="inlineStr">
        <is>
          <t>P1</t>
        </is>
      </c>
      <c r="E6" s="23" t="inlineStr">
        <is>
          <t>N 个测试账号已准备</t>
        </is>
      </c>
      <c r="F6" s="23" t="inlineStr">
        <is>
          <t>1. N 个用户同时操作
2. 验证结果一致性</t>
        </is>
      </c>
      <c r="G6" s="23" t="inlineStr">
        <is>
          <t>所有请求完成；无数据竞争；无错误</t>
        </is>
      </c>
      <c r="H6" s="23" t="inlineStr"/>
      <c r="I6" s="24" t="inlineStr">
        <is>
          <t>未执行</t>
        </is>
      </c>
      <c r="J6" s="24" t="inlineStr"/>
      <c r="K6" s="24" t="inlineStr"/>
      <c r="L6" s="23" t="inlineStr"/>
    </row>
    <row r="7" ht="36" customHeight="1">
      <c r="A7" s="25" t="inlineStr">
        <is>
          <t>ST-004</t>
        </is>
      </c>
      <c r="B7" s="25" t="inlineStr">
        <is>
          <t>全链路</t>
        </is>
      </c>
      <c r="C7" s="25" t="inlineStr">
        <is>
          <t>异常恢复场景</t>
        </is>
      </c>
      <c r="D7" s="26" t="inlineStr">
        <is>
          <t>P1</t>
        </is>
      </c>
      <c r="E7" s="25" t="inlineStr">
        <is>
          <t>系统全量就绪</t>
        </is>
      </c>
      <c r="F7" s="25" t="inlineStr">
        <is>
          <t>1. 模拟中间服务宕机
2. 服务恢复
3. 验证业务继续</t>
        </is>
      </c>
      <c r="G7" s="25" t="inlineStr">
        <is>
          <t>恢复后业务正常；数据无丢失</t>
        </is>
      </c>
      <c r="H7" s="25" t="inlineStr"/>
      <c r="I7" s="26" t="inlineStr">
        <is>
          <t>未执行</t>
        </is>
      </c>
      <c r="J7" s="26" t="inlineStr"/>
      <c r="K7" s="26" t="inlineStr"/>
      <c r="L7" s="25" t="inlineStr"/>
    </row>
    <row r="8" ht="36" customHeight="1">
      <c r="A8" s="23" t="inlineStr">
        <is>
          <t>ST-005</t>
        </is>
      </c>
      <c r="B8" s="23" t="inlineStr">
        <is>
          <t>监控</t>
        </is>
      </c>
      <c r="C8" s="23" t="inlineStr">
        <is>
          <t>告警触发验证</t>
        </is>
      </c>
      <c r="D8" s="24" t="inlineStr">
        <is>
          <t>P2</t>
        </is>
      </c>
      <c r="E8" s="23" t="inlineStr">
        <is>
          <t>监控系统就绪</t>
        </is>
      </c>
      <c r="F8" s="23" t="inlineStr">
        <is>
          <t>1. 触发超阈值事件
2. 等待告警</t>
        </is>
      </c>
      <c r="G8" s="23" t="inlineStr">
        <is>
          <t>告警在 {{X}} 秒内触发；日志正确记录</t>
        </is>
      </c>
      <c r="H8" s="23" t="inlineStr"/>
      <c r="I8" s="24" t="inlineStr">
        <is>
          <t>未执行</t>
        </is>
      </c>
      <c r="J8" s="24" t="inlineStr"/>
      <c r="K8" s="24" t="inlineStr"/>
      <c r="L8" s="23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30" customWidth="1" min="7" max="7"/>
    <col width="30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30" customHeight="1">
      <c r="A1" s="21" t="inlineStr">
        <is>
          <t>{{项目主题}}  —  性能测试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6" customHeight="1">
      <c r="A2" s="22" t="inlineStr">
        <is>
          <t>测试状态：通过 | 失败 | 阻塞 | 未执行 | 跳过          优先级：P0 阻塞  P1 严重  P2 一般  P3 轻微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</row>
    <row r="3" ht="22" customHeight="1">
      <c r="A3" s="6" t="inlineStr">
        <is>
          <t>TC-ID</t>
        </is>
      </c>
      <c r="B3" s="6" t="inlineStr">
        <is>
          <t>模块</t>
        </is>
      </c>
      <c r="C3" s="6" t="inlineStr">
        <is>
          <t>测试场景</t>
        </is>
      </c>
      <c r="D3" s="6" t="inlineStr">
        <is>
          <t>优先级</t>
        </is>
      </c>
      <c r="E3" s="6" t="inlineStr">
        <is>
          <t>前置条件</t>
        </is>
      </c>
      <c r="F3" s="6" t="inlineStr">
        <is>
          <t>输入/操作步骤</t>
        </is>
      </c>
      <c r="G3" s="6" t="inlineStr">
        <is>
          <t>预期结果</t>
        </is>
      </c>
      <c r="H3" s="6" t="inlineStr">
        <is>
          <t>实际结果</t>
        </is>
      </c>
      <c r="I3" s="6" t="inlineStr">
        <is>
          <t>测试状态</t>
        </is>
      </c>
      <c r="J3" s="6" t="inlineStr">
        <is>
          <t>测试人</t>
        </is>
      </c>
      <c r="K3" s="6" t="inlineStr">
        <is>
          <t>测试日期</t>
        </is>
      </c>
      <c r="L3" s="6" t="inlineStr">
        <is>
          <t>备注</t>
        </is>
      </c>
    </row>
    <row r="4" ht="36" customHeight="1">
      <c r="A4" s="23" t="inlineStr">
        <is>
          <t>PT-001</t>
        </is>
      </c>
      <c r="B4" s="23" t="inlineStr">
        <is>
          <t>{{核心 API}}</t>
        </is>
      </c>
      <c r="C4" s="23" t="inlineStr">
        <is>
          <t>单用户基准延迟</t>
        </is>
      </c>
      <c r="D4" s="24" t="inlineStr">
        <is>
          <t>P1</t>
        </is>
      </c>
      <c r="E4" s="23" t="inlineStr">
        <is>
          <t>性能测试环境；基础数据就绪</t>
        </is>
      </c>
      <c r="F4" s="23" t="inlineStr">
        <is>
          <t>1. 单并发调用核心 API 100 次
2. 记录 P50/P95/P99 延迟</t>
        </is>
      </c>
      <c r="G4" s="23" t="inlineStr">
        <is>
          <t>P99 ≤ {{X}} ms</t>
        </is>
      </c>
      <c r="H4" s="23" t="inlineStr"/>
      <c r="I4" s="24" t="inlineStr">
        <is>
          <t>未执行</t>
        </is>
      </c>
      <c r="J4" s="24" t="inlineStr"/>
      <c r="K4" s="24" t="inlineStr"/>
      <c r="L4" s="23" t="inlineStr"/>
    </row>
    <row r="5" ht="36" customHeight="1">
      <c r="A5" s="25" t="inlineStr">
        <is>
          <t>PT-002</t>
        </is>
      </c>
      <c r="B5" s="25" t="inlineStr">
        <is>
          <t>{{核心 API}}</t>
        </is>
      </c>
      <c r="C5" s="25" t="inlineStr">
        <is>
          <t>{{N}} 并发负载测试</t>
        </is>
      </c>
      <c r="D5" s="26" t="inlineStr">
        <is>
          <t>P1</t>
        </is>
      </c>
      <c r="E5" s="25" t="inlineStr">
        <is>
          <t>性能测试环境就绪</t>
        </is>
      </c>
      <c r="F5" s="25" t="inlineStr">
        <is>
          <t>1. {{N}} 并发持续 {{T}} 秒
2. 记录 TPS 和错误率</t>
        </is>
      </c>
      <c r="G5" s="25" t="inlineStr">
        <is>
          <t>TPS ≥ {{Y}}；错误率 ≤ {{Z}}%</t>
        </is>
      </c>
      <c r="H5" s="25" t="inlineStr"/>
      <c r="I5" s="26" t="inlineStr">
        <is>
          <t>未执行</t>
        </is>
      </c>
      <c r="J5" s="26" t="inlineStr"/>
      <c r="K5" s="26" t="inlineStr"/>
      <c r="L5" s="25" t="inlineStr"/>
    </row>
    <row r="6" ht="36" customHeight="1">
      <c r="A6" s="23" t="inlineStr">
        <is>
          <t>PT-003</t>
        </is>
      </c>
      <c r="B6" s="23" t="inlineStr">
        <is>
          <t>{{核心 API}}</t>
        </is>
      </c>
      <c r="C6" s="23" t="inlineStr">
        <is>
          <t>峰值压力测试</t>
        </is>
      </c>
      <c r="D6" s="24" t="inlineStr">
        <is>
          <t>P2</t>
        </is>
      </c>
      <c r="E6" s="23" t="inlineStr">
        <is>
          <t>性能测试环境就绪</t>
        </is>
      </c>
      <c r="F6" s="23" t="inlineStr">
        <is>
          <t>1. 峰值 {{N×}} 倍并发
2. 观察稳定性</t>
        </is>
      </c>
      <c r="G6" s="23" t="inlineStr">
        <is>
          <t>系统不崩溃；恢复时间 ≤ {{X}} 秒</t>
        </is>
      </c>
      <c r="H6" s="23" t="inlineStr"/>
      <c r="I6" s="24" t="inlineStr">
        <is>
          <t>未执行</t>
        </is>
      </c>
      <c r="J6" s="24" t="inlineStr"/>
      <c r="K6" s="24" t="inlineStr"/>
      <c r="L6" s="23" t="inlineStr"/>
    </row>
    <row r="7" ht="36" customHeight="1">
      <c r="A7" s="25" t="inlineStr">
        <is>
          <t>PT-004</t>
        </is>
      </c>
      <c r="B7" s="25" t="inlineStr">
        <is>
          <t>{{DB 写入}}</t>
        </is>
      </c>
      <c r="C7" s="25" t="inlineStr">
        <is>
          <t>批量写入吞吐验证</t>
        </is>
      </c>
      <c r="D7" s="26" t="inlineStr">
        <is>
          <t>P2</t>
        </is>
      </c>
      <c r="E7" s="25" t="inlineStr">
        <is>
          <t>性能测试环境就绪</t>
        </is>
      </c>
      <c r="F7" s="25" t="inlineStr">
        <is>
          <t>1. 批量写入 {{N}} 条
2. 记录耗时和吞吐</t>
        </is>
      </c>
      <c r="G7" s="25" t="inlineStr">
        <is>
          <t>吞吐 ≥ {{Y}} 条/秒</t>
        </is>
      </c>
      <c r="H7" s="25" t="inlineStr"/>
      <c r="I7" s="26" t="inlineStr">
        <is>
          <t>未执行</t>
        </is>
      </c>
      <c r="J7" s="26" t="inlineStr"/>
      <c r="K7" s="26" t="inlineStr"/>
      <c r="L7" s="2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30" customWidth="1" min="7" max="7"/>
    <col width="30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30" customHeight="1">
      <c r="A1" s="21" t="inlineStr">
        <is>
          <t>{{项目主题}}  —  安全测试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6" customHeight="1">
      <c r="A2" s="22" t="inlineStr">
        <is>
          <t>测试状态：通过 | 失败 | 阻塞 | 未执行 | 跳过          优先级：P0 阻塞  P1 严重  P2 一般  P3 轻微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</row>
    <row r="3" ht="22" customHeight="1">
      <c r="A3" s="6" t="inlineStr">
        <is>
          <t>TC-ID</t>
        </is>
      </c>
      <c r="B3" s="6" t="inlineStr">
        <is>
          <t>模块</t>
        </is>
      </c>
      <c r="C3" s="6" t="inlineStr">
        <is>
          <t>测试场景</t>
        </is>
      </c>
      <c r="D3" s="6" t="inlineStr">
        <is>
          <t>优先级</t>
        </is>
      </c>
      <c r="E3" s="6" t="inlineStr">
        <is>
          <t>前置条件</t>
        </is>
      </c>
      <c r="F3" s="6" t="inlineStr">
        <is>
          <t>输入/操作步骤</t>
        </is>
      </c>
      <c r="G3" s="6" t="inlineStr">
        <is>
          <t>预期结果</t>
        </is>
      </c>
      <c r="H3" s="6" t="inlineStr">
        <is>
          <t>实际结果</t>
        </is>
      </c>
      <c r="I3" s="6" t="inlineStr">
        <is>
          <t>测试状态</t>
        </is>
      </c>
      <c r="J3" s="6" t="inlineStr">
        <is>
          <t>测试人</t>
        </is>
      </c>
      <c r="K3" s="6" t="inlineStr">
        <is>
          <t>测试日期</t>
        </is>
      </c>
      <c r="L3" s="6" t="inlineStr">
        <is>
          <t>备注</t>
        </is>
      </c>
    </row>
    <row r="4" ht="36" customHeight="1">
      <c r="A4" s="23" t="inlineStr">
        <is>
          <t>SEC-001</t>
        </is>
      </c>
      <c r="B4" s="23" t="inlineStr">
        <is>
          <t>Auth</t>
        </is>
      </c>
      <c r="C4" s="23" t="inlineStr">
        <is>
          <t>未携带 Token 访问受保护资源</t>
        </is>
      </c>
      <c r="D4" s="24" t="inlineStr">
        <is>
          <t>P0</t>
        </is>
      </c>
      <c r="E4" s="23" t="inlineStr">
        <is>
          <t>服务就绪</t>
        </is>
      </c>
      <c r="F4" s="23" t="inlineStr">
        <is>
          <t>1. 不携带 Authorization Header
2. 请求受保护 API</t>
        </is>
      </c>
      <c r="G4" s="23" t="inlineStr">
        <is>
          <t>返回 401；不含资源数据</t>
        </is>
      </c>
      <c r="H4" s="23" t="inlineStr"/>
      <c r="I4" s="24" t="inlineStr">
        <is>
          <t>未执行</t>
        </is>
      </c>
      <c r="J4" s="24" t="inlineStr"/>
      <c r="K4" s="24" t="inlineStr"/>
      <c r="L4" s="23" t="inlineStr"/>
    </row>
    <row r="5" ht="36" customHeight="1">
      <c r="A5" s="25" t="inlineStr">
        <is>
          <t>SEC-002</t>
        </is>
      </c>
      <c r="B5" s="25" t="inlineStr">
        <is>
          <t>Auth</t>
        </is>
      </c>
      <c r="C5" s="25" t="inlineStr">
        <is>
          <t>过期 Token 访问</t>
        </is>
      </c>
      <c r="D5" s="26" t="inlineStr">
        <is>
          <t>P0</t>
        </is>
      </c>
      <c r="E5" s="25" t="inlineStr">
        <is>
          <t>持有过期 Token</t>
        </is>
      </c>
      <c r="F5" s="25" t="inlineStr">
        <is>
          <t>1. 使用过期 Token 发送请求</t>
        </is>
      </c>
      <c r="G5" s="25" t="inlineStr">
        <is>
          <t>返回 401</t>
        </is>
      </c>
      <c r="H5" s="25" t="inlineStr"/>
      <c r="I5" s="26" t="inlineStr">
        <is>
          <t>未执行</t>
        </is>
      </c>
      <c r="J5" s="26" t="inlineStr"/>
      <c r="K5" s="26" t="inlineStr"/>
      <c r="L5" s="25" t="inlineStr"/>
    </row>
    <row r="6" ht="36" customHeight="1">
      <c r="A6" s="23" t="inlineStr">
        <is>
          <t>SEC-003</t>
        </is>
      </c>
      <c r="B6" s="23" t="inlineStr">
        <is>
          <t>Auth</t>
        </is>
      </c>
      <c r="C6" s="23" t="inlineStr">
        <is>
          <t>越权访问他人数据</t>
        </is>
      </c>
      <c r="D6" s="24" t="inlineStr">
        <is>
          <t>P0</t>
        </is>
      </c>
      <c r="E6" s="23" t="inlineStr">
        <is>
          <t>账号 A 和 B 均存在</t>
        </is>
      </c>
      <c r="F6" s="23" t="inlineStr">
        <is>
          <t>1. 账号 A 请求账号 B 的资源 ID</t>
        </is>
      </c>
      <c r="G6" s="23" t="inlineStr">
        <is>
          <t>返回 403 或 404；无越权数据</t>
        </is>
      </c>
      <c r="H6" s="23" t="inlineStr"/>
      <c r="I6" s="24" t="inlineStr">
        <is>
          <t>未执行</t>
        </is>
      </c>
      <c r="J6" s="24" t="inlineStr"/>
      <c r="K6" s="24" t="inlineStr"/>
      <c r="L6" s="23" t="inlineStr"/>
    </row>
    <row r="7" ht="36" customHeight="1">
      <c r="A7" s="25" t="inlineStr">
        <is>
          <t>SEC-004</t>
        </is>
      </c>
      <c r="B7" s="25" t="inlineStr">
        <is>
          <t>输入校验</t>
        </is>
      </c>
      <c r="C7" s="25" t="inlineStr">
        <is>
          <t>SQL / 命令注入</t>
        </is>
      </c>
      <c r="D7" s="26" t="inlineStr">
        <is>
          <t>P0</t>
        </is>
      </c>
      <c r="E7" s="25" t="inlineStr">
        <is>
          <t>服务就绪</t>
        </is>
      </c>
      <c r="F7" s="25" t="inlineStr">
        <is>
          <t>1. 在输入字段注入 SQL / 命令片段</t>
        </is>
      </c>
      <c r="G7" s="25" t="inlineStr">
        <is>
          <t>返回 400；无 SQL 执行；无异常栈暴露</t>
        </is>
      </c>
      <c r="H7" s="25" t="inlineStr"/>
      <c r="I7" s="26" t="inlineStr">
        <is>
          <t>未执行</t>
        </is>
      </c>
      <c r="J7" s="26" t="inlineStr"/>
      <c r="K7" s="26" t="inlineStr"/>
      <c r="L7" s="25" t="inlineStr"/>
    </row>
    <row r="8" ht="36" customHeight="1">
      <c r="A8" s="23" t="inlineStr">
        <is>
          <t>SEC-005</t>
        </is>
      </c>
      <c r="B8" s="23" t="inlineStr">
        <is>
          <t>输入校验</t>
        </is>
      </c>
      <c r="C8" s="23" t="inlineStr">
        <is>
          <t>超大 Payload</t>
        </is>
      </c>
      <c r="D8" s="24" t="inlineStr">
        <is>
          <t>P1</t>
        </is>
      </c>
      <c r="E8" s="23" t="inlineStr">
        <is>
          <t>服务就绪</t>
        </is>
      </c>
      <c r="F8" s="23" t="inlineStr">
        <is>
          <t>1. 发送超过限制的请求体</t>
        </is>
      </c>
      <c r="G8" s="23" t="inlineStr">
        <is>
          <t>返回 413 或 400；服务不崩溃</t>
        </is>
      </c>
      <c r="H8" s="23" t="inlineStr"/>
      <c r="I8" s="24" t="inlineStr">
        <is>
          <t>未执行</t>
        </is>
      </c>
      <c r="J8" s="24" t="inlineStr"/>
      <c r="K8" s="24" t="inlineStr"/>
      <c r="L8" s="23" t="inlineStr"/>
    </row>
    <row r="9" ht="36" customHeight="1">
      <c r="A9" s="25" t="inlineStr">
        <is>
          <t>SEC-006</t>
        </is>
      </c>
      <c r="B9" s="25" t="inlineStr">
        <is>
          <t>传输安全</t>
        </is>
      </c>
      <c r="C9" s="25" t="inlineStr">
        <is>
          <t>敏感数据明文传输检测</t>
        </is>
      </c>
      <c r="D9" s="26" t="inlineStr">
        <is>
          <t>P0</t>
        </is>
      </c>
      <c r="E9" s="25" t="inlineStr">
        <is>
          <t>抓包工具就绪</t>
        </is>
      </c>
      <c r="F9" s="25" t="inlineStr">
        <is>
          <t>1. 执行登录 / 敏感操作
2. 抓包检查传输内容</t>
        </is>
      </c>
      <c r="G9" s="25" t="inlineStr">
        <is>
          <t>密码/密钥不以明文出现在网络包中</t>
        </is>
      </c>
      <c r="H9" s="25" t="inlineStr"/>
      <c r="I9" s="26" t="inlineStr">
        <is>
          <t>未执行</t>
        </is>
      </c>
      <c r="J9" s="26" t="inlineStr"/>
      <c r="K9" s="26" t="inlineStr"/>
      <c r="L9" s="25" t="inlineStr"/>
    </row>
    <row r="10" ht="36" customHeight="1">
      <c r="A10" s="23" t="inlineStr">
        <is>
          <t>SEC-007</t>
        </is>
      </c>
      <c r="B10" s="23" t="inlineStr">
        <is>
          <t>数据存储</t>
        </is>
      </c>
      <c r="C10" s="23" t="inlineStr">
        <is>
          <t>密码存储方式检查</t>
        </is>
      </c>
      <c r="D10" s="24" t="inlineStr">
        <is>
          <t>P0</t>
        </is>
      </c>
      <c r="E10" s="23" t="inlineStr">
        <is>
          <t>DB 访问权限</t>
        </is>
      </c>
      <c r="F10" s="23" t="inlineStr">
        <is>
          <t>1. 查询用户表密码字段</t>
        </is>
      </c>
      <c r="G10" s="23" t="inlineStr">
        <is>
          <t>密码以哈希形式存储，非明文</t>
        </is>
      </c>
      <c r="H10" s="23" t="inlineStr"/>
      <c r="I10" s="24" t="inlineStr">
        <is>
          <t>未执行</t>
        </is>
      </c>
      <c r="J10" s="24" t="inlineStr"/>
      <c r="K10" s="24" t="inlineStr"/>
      <c r="L10" s="23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30" customWidth="1" min="7" max="7"/>
    <col width="30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30" customHeight="1">
      <c r="A1" s="21" t="inlineStr">
        <is>
          <t>{{项目主题}}  —  回归测试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6" customHeight="1">
      <c r="A2" s="22" t="inlineStr">
        <is>
          <t>测试状态：通过 | 失败 | 阻塞 | 未执行 | 跳过          优先级：P0 阻塞  P1 严重  P2 一般  P3 轻微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</row>
    <row r="3" ht="22" customHeight="1">
      <c r="A3" s="6" t="inlineStr">
        <is>
          <t>TC-ID</t>
        </is>
      </c>
      <c r="B3" s="6" t="inlineStr">
        <is>
          <t>模块</t>
        </is>
      </c>
      <c r="C3" s="6" t="inlineStr">
        <is>
          <t>测试场景</t>
        </is>
      </c>
      <c r="D3" s="6" t="inlineStr">
        <is>
          <t>优先级</t>
        </is>
      </c>
      <c r="E3" s="6" t="inlineStr">
        <is>
          <t>前置条件</t>
        </is>
      </c>
      <c r="F3" s="6" t="inlineStr">
        <is>
          <t>输入/操作步骤</t>
        </is>
      </c>
      <c r="G3" s="6" t="inlineStr">
        <is>
          <t>预期结果</t>
        </is>
      </c>
      <c r="H3" s="6" t="inlineStr">
        <is>
          <t>实际结果</t>
        </is>
      </c>
      <c r="I3" s="6" t="inlineStr">
        <is>
          <t>测试状态</t>
        </is>
      </c>
      <c r="J3" s="6" t="inlineStr">
        <is>
          <t>测试人</t>
        </is>
      </c>
      <c r="K3" s="6" t="inlineStr">
        <is>
          <t>测试日期</t>
        </is>
      </c>
      <c r="L3" s="6" t="inlineStr">
        <is>
          <t>备注</t>
        </is>
      </c>
    </row>
    <row r="4" ht="36" customHeight="1">
      <c r="A4" s="23" t="inlineStr">
        <is>
          <t>REG-001</t>
        </is>
      </c>
      <c r="B4" s="23" t="inlineStr">
        <is>
          <t>全模块</t>
        </is>
      </c>
      <c r="C4" s="23" t="inlineStr">
        <is>
          <t>P0 核心用例全量回归</t>
        </is>
      </c>
      <c r="D4" s="24" t="inlineStr">
        <is>
          <t>P0</t>
        </is>
      </c>
      <c r="E4" s="23" t="inlineStr">
        <is>
          <t>系统全量就绪</t>
        </is>
      </c>
      <c r="F4" s="23" t="inlineStr">
        <is>
          <t>1. 执行所有 P0 级别用例
2. 记录结果</t>
        </is>
      </c>
      <c r="G4" s="23" t="inlineStr">
        <is>
          <t>所有 P0 用例通过；无新引入失败</t>
        </is>
      </c>
      <c r="H4" s="23" t="inlineStr"/>
      <c r="I4" s="24" t="inlineStr">
        <is>
          <t>未执行</t>
        </is>
      </c>
      <c r="J4" s="24" t="inlineStr"/>
      <c r="K4" s="24" t="inlineStr"/>
      <c r="L4" s="23" t="inlineStr"/>
    </row>
    <row r="5" ht="36" customHeight="1">
      <c r="A5" s="25" t="inlineStr">
        <is>
          <t>REG-002</t>
        </is>
      </c>
      <c r="B5" s="25" t="inlineStr">
        <is>
          <t>受影响模块</t>
        </is>
      </c>
      <c r="C5" s="25" t="inlineStr">
        <is>
          <t>缺陷修复后关联用例回归</t>
        </is>
      </c>
      <c r="D5" s="26" t="inlineStr">
        <is>
          <t>P1</t>
        </is>
      </c>
      <c r="E5" s="25" t="inlineStr">
        <is>
          <t>缺陷已修复；系统就绪</t>
        </is>
      </c>
      <c r="F5" s="25" t="inlineStr">
        <is>
          <t>1. 执行缺陷关联用例
2. 执行相邻功能用例</t>
        </is>
      </c>
      <c r="G5" s="25" t="inlineStr">
        <is>
          <t>缺陷用例通过；无回归</t>
        </is>
      </c>
      <c r="H5" s="25" t="inlineStr"/>
      <c r="I5" s="26" t="inlineStr">
        <is>
          <t>未执行</t>
        </is>
      </c>
      <c r="J5" s="26" t="inlineStr"/>
      <c r="K5" s="26" t="inlineStr"/>
      <c r="L5" s="25" t="inlineStr"/>
    </row>
    <row r="6" ht="36" customHeight="1">
      <c r="A6" s="23" t="inlineStr">
        <is>
          <t>REG-003</t>
        </is>
      </c>
      <c r="B6" s="23" t="inlineStr">
        <is>
          <t>全链路</t>
        </is>
      </c>
      <c r="C6" s="23" t="inlineStr">
        <is>
          <t>版本升级后主流程验证</t>
        </is>
      </c>
      <c r="D6" s="24" t="inlineStr">
        <is>
          <t>P0</t>
        </is>
      </c>
      <c r="E6" s="23" t="inlineStr">
        <is>
          <t>新版本已部署</t>
        </is>
      </c>
      <c r="F6" s="23" t="inlineStr">
        <is>
          <t>1. 执行主业务流程 E2E 用例</t>
        </is>
      </c>
      <c r="G6" s="23" t="inlineStr">
        <is>
          <t>主流程全部通过；无兼容性问题</t>
        </is>
      </c>
      <c r="H6" s="23" t="inlineStr"/>
      <c r="I6" s="24" t="inlineStr">
        <is>
          <t>未执行</t>
        </is>
      </c>
      <c r="J6" s="24" t="inlineStr"/>
      <c r="K6" s="24" t="inlineStr"/>
      <c r="L6" s="23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30" customWidth="1" min="7" max="7"/>
    <col width="30" customWidth="1" min="8" max="8"/>
    <col width="12" customWidth="1" min="9" max="9"/>
    <col width="10" customWidth="1" min="10" max="10"/>
    <col width="14" customWidth="1" min="11" max="11"/>
    <col width="18" customWidth="1" min="12" max="12"/>
  </cols>
  <sheetData>
    <row r="1" ht="30" customHeight="1">
      <c r="A1" s="21" t="inlineStr">
        <is>
          <t>{{项目主题}}  —  资源约束测试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6" customHeight="1">
      <c r="A2" s="22" t="inlineStr">
        <is>
          <t>测试状态：通过 | 失败 | 阻塞 | 未执行 | 跳过          优先级：P0 阻塞  P1 严重  P2 一般  P3 轻微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</row>
    <row r="3" ht="22" customHeight="1">
      <c r="A3" s="6" t="inlineStr">
        <is>
          <t>TC-ID</t>
        </is>
      </c>
      <c r="B3" s="6" t="inlineStr">
        <is>
          <t>模块</t>
        </is>
      </c>
      <c r="C3" s="6" t="inlineStr">
        <is>
          <t>测试场景</t>
        </is>
      </c>
      <c r="D3" s="6" t="inlineStr">
        <is>
          <t>优先级</t>
        </is>
      </c>
      <c r="E3" s="6" t="inlineStr">
        <is>
          <t>前置条件</t>
        </is>
      </c>
      <c r="F3" s="6" t="inlineStr">
        <is>
          <t>输入/操作步骤</t>
        </is>
      </c>
      <c r="G3" s="6" t="inlineStr">
        <is>
          <t>预期结果</t>
        </is>
      </c>
      <c r="H3" s="6" t="inlineStr">
        <is>
          <t>实际结果</t>
        </is>
      </c>
      <c r="I3" s="6" t="inlineStr">
        <is>
          <t>测试状态</t>
        </is>
      </c>
      <c r="J3" s="6" t="inlineStr">
        <is>
          <t>测试人</t>
        </is>
      </c>
      <c r="K3" s="6" t="inlineStr">
        <is>
          <t>测试日期</t>
        </is>
      </c>
      <c r="L3" s="6" t="inlineStr">
        <is>
          <t>备注</t>
        </is>
      </c>
    </row>
    <row r="4" ht="36" customHeight="1">
      <c r="A4" s="23" t="inlineStr">
        <is>
          <t>EMB-001</t>
        </is>
      </c>
      <c r="B4" s="23" t="inlineStr">
        <is>
          <t>资源预算</t>
        </is>
      </c>
      <c r="C4" s="23" t="inlineStr">
        <is>
          <t>编译后 RAM 占用核查</t>
        </is>
      </c>
      <c r="D4" s="24" t="inlineStr">
        <is>
          <t>P0</t>
        </is>
      </c>
      <c r="E4" s="23" t="inlineStr">
        <is>
          <t>已生成 Linker Map</t>
        </is>
      </c>
      <c r="F4" s="23" t="inlineStr">
        <is>
          <t>1. 解析 .data/.bss 段
2. 汇总 RAM 占用
3. 对比需求预算</t>
        </is>
      </c>
      <c r="G4" s="23" t="inlineStr">
        <is>
          <t>总 RAM 不超过需求预算</t>
        </is>
      </c>
      <c r="H4" s="23" t="n"/>
      <c r="I4" s="24" t="inlineStr">
        <is>
          <t>未执行</t>
        </is>
      </c>
      <c r="J4" s="24" t="n"/>
      <c r="K4" s="24" t="n"/>
      <c r="L4" s="23" t="n"/>
    </row>
    <row r="5" ht="36" customHeight="1">
      <c r="A5" s="25" t="inlineStr">
        <is>
          <t>EMB-002</t>
        </is>
      </c>
      <c r="B5" s="25" t="inlineStr">
        <is>
          <t>资源预算</t>
        </is>
      </c>
      <c r="C5" s="25" t="inlineStr">
        <is>
          <t>编译后 Code/Flash 占用核查</t>
        </is>
      </c>
      <c r="D5" s="26" t="inlineStr">
        <is>
          <t>P0</t>
        </is>
      </c>
      <c r="E5" s="25" t="inlineStr">
        <is>
          <t>已生成 Linker Map</t>
        </is>
      </c>
      <c r="F5" s="25" t="inlineStr">
        <is>
          <t>1. 解析 .text/.rodata 段
2. 汇总代码占用
3. 对比需求预算</t>
        </is>
      </c>
      <c r="G5" s="25" t="inlineStr">
        <is>
          <t>Code/Flash 不超过需求预算</t>
        </is>
      </c>
      <c r="H5" s="25" t="n"/>
      <c r="I5" s="26" t="inlineStr">
        <is>
          <t>未执行</t>
        </is>
      </c>
      <c r="J5" s="26" t="n"/>
      <c r="K5" s="26" t="n"/>
      <c r="L5" s="25" t="n"/>
    </row>
    <row r="6" ht="36" customHeight="1">
      <c r="A6" s="23" t="inlineStr">
        <is>
          <t>EMB-003</t>
        </is>
      </c>
      <c r="B6" s="23" t="inlineStr">
        <is>
          <t>任务栈</t>
        </is>
      </c>
      <c r="C6" s="23" t="inlineStr">
        <is>
          <t>任务最深调用链栈深度核查</t>
        </is>
      </c>
      <c r="D6" s="24" t="inlineStr">
        <is>
          <t>P0</t>
        </is>
      </c>
      <c r="E6" s="23" t="inlineStr">
        <is>
          <t>任务清单与调用图已确认</t>
        </is>
      </c>
      <c r="F6" s="23" t="inlineStr">
        <is>
          <t>1. 分析每个任务最深调用链
2. 汇总局部变量和调用开销
3. 对比设计预算</t>
        </is>
      </c>
      <c r="G6" s="23" t="inlineStr">
        <is>
          <t>每任务栈深度不超过设计预算</t>
        </is>
      </c>
      <c r="H6" s="23" t="n"/>
      <c r="I6" s="24" t="inlineStr">
        <is>
          <t>未执行</t>
        </is>
      </c>
      <c r="J6" s="24" t="n"/>
      <c r="K6" s="24" t="n"/>
      <c r="L6" s="23" t="n"/>
    </row>
    <row r="7">
      <c r="A7" t="inlineStr">
        <is>
          <t>EMB-004</t>
        </is>
      </c>
      <c r="B7" t="inlineStr">
        <is>
          <t>内存策略</t>
        </is>
      </c>
      <c r="C7" t="inlineStr">
        <is>
          <t>运行时动态内存分配禁用检查</t>
        </is>
      </c>
      <c r="D7" t="inlineStr">
        <is>
          <t>P0</t>
        </is>
      </c>
      <c r="E7" t="inlineStr">
        <is>
          <t>源码可扫描</t>
        </is>
      </c>
      <c r="F7" t="inlineStr">
        <is>
          <t>1. 扫描 malloc/free/new/delete
2. 检查运行时路径
3. 记录例外说明</t>
        </is>
      </c>
      <c r="G7" t="inlineStr">
        <is>
          <t>运行时路径无动态分配或例外已批准</t>
        </is>
      </c>
      <c r="I7" t="inlineStr">
        <is>
          <t>未执行</t>
        </is>
      </c>
    </row>
    <row r="8">
      <c r="A8" t="inlineStr">
        <is>
          <t>EMB-005</t>
        </is>
      </c>
      <c r="B8" t="inlineStr">
        <is>
          <t>接口类型</t>
        </is>
      </c>
      <c r="C8" t="inlineStr">
        <is>
          <t>接口字段固定宽度类型合规</t>
        </is>
      </c>
      <c r="D8" t="inlineStr">
        <is>
          <t>P1</t>
        </is>
      </c>
      <c r="E8" t="inlineStr">
        <is>
          <t>接口结构体已定义</t>
        </is>
      </c>
      <c r="F8" t="inlineStr">
        <is>
          <t>1. 检查接口字段类型
2. 编译打开 -Wall -Wextra
3. 检查隐式转换告警</t>
        </is>
      </c>
      <c r="G8" t="inlineStr">
        <is>
          <t>无 int/long 作为跨边界接口字段，无隐式截断告警</t>
        </is>
      </c>
      <c r="I8" t="inlineStr">
        <is>
          <t>未执行</t>
        </is>
      </c>
    </row>
    <row r="9">
      <c r="A9" t="inlineStr">
        <is>
          <t>EMB-006</t>
        </is>
      </c>
      <c r="B9" t="inlineStr">
        <is>
          <t>结构体布局</t>
        </is>
      </c>
      <c r="C9" t="inlineStr">
        <is>
          <t>关键结构体 sizeof 静态断言</t>
        </is>
      </c>
      <c r="D9" t="inlineStr">
        <is>
          <t>P1</t>
        </is>
      </c>
      <c r="E9" t="inlineStr">
        <is>
          <t>关键结构体清单已确认</t>
        </is>
      </c>
      <c r="F9" t="inlineStr">
        <is>
          <t>1. 添加或检查 _Static_assert
2. 编译目标工程</t>
        </is>
      </c>
      <c r="G9" t="inlineStr">
        <is>
          <t>所有关键结构体尺寸断言通过</t>
        </is>
      </c>
      <c r="I9" t="inlineStr">
        <is>
          <t>未执行</t>
        </is>
      </c>
    </row>
    <row r="10">
      <c r="A10" t="inlineStr">
        <is>
          <t>EMB-007</t>
        </is>
      </c>
      <c r="B10" t="inlineStr">
        <is>
          <t>调用图</t>
        </is>
      </c>
      <c r="C10" t="inlineStr">
        <is>
          <t>禁止递归函数检查</t>
        </is>
      </c>
      <c r="D10" t="inlineStr">
        <is>
          <t>P1</t>
        </is>
      </c>
      <c r="E10" t="inlineStr">
        <is>
          <t>调用图或静态分析工具可用</t>
        </is>
      </c>
      <c r="F10" t="inlineStr">
        <is>
          <t>1. 运行静态分析
2. 检查调用环
3. 记录例外</t>
        </is>
      </c>
      <c r="G10" t="inlineStr">
        <is>
          <t>无递归环路或例外已批准</t>
        </is>
      </c>
      <c r="I10" t="inlineStr">
        <is>
          <t>未执行</t>
        </is>
      </c>
    </row>
    <row r="11">
      <c r="A11" t="inlineStr">
        <is>
          <t>EMB-008</t>
        </is>
      </c>
      <c r="B11" t="inlineStr">
        <is>
          <t>协议字段</t>
        </is>
      </c>
      <c r="C11" t="inlineStr">
        <is>
          <t>跨平台字节序一致性验证</t>
        </is>
      </c>
      <c r="D11" t="inlineStr">
        <is>
          <t>P0</t>
        </is>
      </c>
      <c r="E11" t="inlineStr">
        <is>
          <t>协议收发环境就绪</t>
        </is>
      </c>
      <c r="F11" t="inlineStr">
        <is>
          <t>1. 构造多字节字段
2. 跨平台收发
3. 比对解析结果</t>
        </is>
      </c>
      <c r="G11" t="inlineStr">
        <is>
          <t>字段字节序与详细设计一致</t>
        </is>
      </c>
      <c r="I11" t="inlineStr">
        <is>
          <t>未执行</t>
        </is>
      </c>
    </row>
    <row r="12">
      <c r="A12" t="inlineStr">
        <is>
          <t>EMB-009</t>
        </is>
      </c>
      <c r="B12" t="inlineStr">
        <is>
          <t>并发访问</t>
        </is>
      </c>
      <c r="C12" t="inlineStr">
        <is>
          <t>中断/任务共享变量 volatile 检查</t>
        </is>
      </c>
      <c r="D12" t="inlineStr">
        <is>
          <t>P1</t>
        </is>
      </c>
      <c r="E12" t="inlineStr">
        <is>
          <t>共享变量清单已确认</t>
        </is>
      </c>
      <c r="F12" t="inlineStr">
        <is>
          <t>1. 检查 ISR 与任务共享变量
2. 验证 volatile/原子/锁策略</t>
        </is>
      </c>
      <c r="G12" t="inlineStr">
        <is>
          <t>共享变量声明和同步策略符合设计</t>
        </is>
      </c>
      <c r="I12" t="inlineStr">
        <is>
          <t>未执行</t>
        </is>
      </c>
    </row>
    <row r="13">
      <c r="A13" t="inlineStr">
        <is>
          <t>EMB-010</t>
        </is>
      </c>
      <c r="B13" t="inlineStr">
        <is>
          <t>运行稳定性</t>
        </is>
      </c>
      <c r="C13" t="inlineStr">
        <is>
          <t>压力运行后栈 canary 检测</t>
        </is>
      </c>
      <c r="D13" t="inlineStr">
        <is>
          <t>P0</t>
        </is>
      </c>
      <c r="E13" t="inlineStr">
        <is>
          <t>固件支持 canary 或等效检测</t>
        </is>
      </c>
      <c r="F13" t="inlineStr">
        <is>
          <t>1. 写入栈 canary
2. 压力运行 {{N}} 小时
3. 检查 canary 完整性</t>
        </is>
      </c>
      <c r="G13" t="inlineStr">
        <is>
          <t>canary 未破坏，无栈溢出迹象</t>
        </is>
      </c>
      <c r="I13" t="inlineStr">
        <is>
          <t>未执行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2026-06-25T11:21:02Z</dcterms:created>
  <dcterms:modified xmlns:dcterms="http://purl.org/dc/terms/" xmlns:xsi="http://www.w3.org/2001/XMLSchema-instance" xsi:type="dcterms:W3CDTF">2026-06-26T02:52:33Z</dcterms:modified>
</cp:coreProperties>
</file>